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lises\OneDrive\Desktop\escuela\"/>
    </mc:Choice>
  </mc:AlternateContent>
  <xr:revisionPtr revIDLastSave="0" documentId="8_{A6CA7C3C-ADDF-4AD6-9B71-EB644D3CFB4C}" xr6:coauthVersionLast="47" xr6:coauthVersionMax="47" xr10:uidLastSave="{00000000-0000-0000-0000-000000000000}"/>
  <bookViews>
    <workbookView xWindow="-120" yWindow="-120" windowWidth="29040" windowHeight="15840" firstSheet="2" activeTab="3" xr2:uid="{A11888BB-1A8C-4DC6-9D4B-C7240C2788FC}"/>
  </bookViews>
  <sheets>
    <sheet name="BaseDeDatos" sheetId="1" r:id="rId1"/>
    <sheet name="Continuas" sheetId="2" r:id="rId2"/>
    <sheet name="Discretas" sheetId="4" r:id="rId3"/>
    <sheet name="Cualitativas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" i="4" l="1" a="1"/>
  <c r="AG3" i="4" s="1"/>
  <c r="AM16" i="4"/>
  <c r="AM15" i="4"/>
  <c r="AM14" i="4"/>
  <c r="AM13" i="4"/>
  <c r="AM11" i="4"/>
  <c r="AM10" i="4"/>
  <c r="AM9" i="4"/>
  <c r="AM8" i="4"/>
  <c r="AM7" i="4"/>
  <c r="AM6" i="4"/>
  <c r="AM5" i="4"/>
  <c r="AM4" i="4"/>
  <c r="AM12" i="4"/>
  <c r="S3" i="3"/>
  <c r="S4" i="3"/>
  <c r="S5" i="3"/>
  <c r="S6" i="3"/>
  <c r="S7" i="3"/>
  <c r="S8" i="3"/>
  <c r="S9" i="3"/>
  <c r="S10" i="3"/>
  <c r="S11" i="3"/>
  <c r="S12" i="3"/>
  <c r="S13" i="3"/>
  <c r="S2" i="3"/>
  <c r="R14" i="3"/>
  <c r="R3" i="3"/>
  <c r="R4" i="3"/>
  <c r="R5" i="3"/>
  <c r="R6" i="3"/>
  <c r="R7" i="3"/>
  <c r="R8" i="3"/>
  <c r="R9" i="3"/>
  <c r="R10" i="3"/>
  <c r="R11" i="3"/>
  <c r="R12" i="3"/>
  <c r="R13" i="3"/>
  <c r="R2" i="3"/>
  <c r="AD15" i="4"/>
  <c r="AD9" i="4"/>
  <c r="AD8" i="4"/>
  <c r="AD7" i="4"/>
  <c r="AD6" i="4"/>
  <c r="AD5" i="4"/>
  <c r="AD4" i="4"/>
  <c r="AD10" i="4"/>
  <c r="AD11" i="4"/>
  <c r="AD16" i="4"/>
  <c r="X3" i="4" a="1"/>
  <c r="X3" i="4"/>
  <c r="Z3" i="4" s="1"/>
  <c r="AD14" i="4"/>
  <c r="AD13" i="4"/>
  <c r="U16" i="4"/>
  <c r="U14" i="4"/>
  <c r="U15" i="4"/>
  <c r="U13" i="4"/>
  <c r="U11" i="4"/>
  <c r="U10" i="4"/>
  <c r="U9" i="4"/>
  <c r="U8" i="4"/>
  <c r="U7" i="4"/>
  <c r="U6" i="4"/>
  <c r="U5" i="4"/>
  <c r="U4" i="4"/>
  <c r="O3" i="4" a="1"/>
  <c r="Q8" i="4" s="1"/>
  <c r="O3" i="4"/>
  <c r="Q3" i="4" s="1"/>
  <c r="AD12" i="4"/>
  <c r="U12" i="4"/>
  <c r="F3" i="4" a="1"/>
  <c r="F3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3"/>
  <c r="L4" i="3"/>
  <c r="L5" i="3"/>
  <c r="L6" i="3"/>
  <c r="L7" i="3"/>
  <c r="L2" i="3"/>
  <c r="H52" i="2"/>
  <c r="H51" i="2"/>
  <c r="H50" i="2"/>
  <c r="H49" i="2"/>
  <c r="H48" i="2"/>
  <c r="H47" i="2"/>
  <c r="H46" i="2"/>
  <c r="H45" i="2"/>
  <c r="H44" i="2"/>
  <c r="H25" i="2"/>
  <c r="H42" i="2"/>
  <c r="H41" i="2"/>
  <c r="H40" i="2"/>
  <c r="G54" i="2"/>
  <c r="H55" i="2"/>
  <c r="H43" i="2"/>
  <c r="F3" i="3"/>
  <c r="F4" i="3"/>
  <c r="F5" i="3"/>
  <c r="F6" i="3"/>
  <c r="F2" i="3"/>
  <c r="H22" i="2"/>
  <c r="H23" i="2"/>
  <c r="H24" i="2"/>
  <c r="H26" i="2"/>
  <c r="H27" i="2"/>
  <c r="H28" i="2"/>
  <c r="H29" i="2"/>
  <c r="H31" i="2"/>
  <c r="H32" i="2"/>
  <c r="H30" i="2" s="1"/>
  <c r="H37" i="2" s="1"/>
  <c r="H33" i="2"/>
  <c r="H34" i="2"/>
  <c r="G36" i="2" s="1"/>
  <c r="H13" i="2"/>
  <c r="G15" i="2" s="1"/>
  <c r="H12" i="2"/>
  <c r="H11" i="2"/>
  <c r="H10" i="2"/>
  <c r="H8" i="2"/>
  <c r="H7" i="2"/>
  <c r="H6" i="2"/>
  <c r="H5" i="2"/>
  <c r="H4" i="2"/>
  <c r="H3" i="2"/>
  <c r="H2" i="2"/>
  <c r="AI4" i="4" l="1"/>
  <c r="Z11" i="4"/>
  <c r="Z10" i="4"/>
  <c r="Z9" i="4"/>
  <c r="AI6" i="4"/>
  <c r="AI5" i="4"/>
  <c r="Q4" i="4"/>
  <c r="Q5" i="4"/>
  <c r="Q6" i="4"/>
  <c r="Q7" i="4"/>
  <c r="Q9" i="4"/>
  <c r="Z8" i="4"/>
  <c r="Z7" i="4"/>
  <c r="Z6" i="4"/>
  <c r="Z5" i="4"/>
  <c r="Z4" i="4"/>
  <c r="H8" i="4"/>
  <c r="H7" i="4"/>
  <c r="H6" i="4"/>
  <c r="H5" i="4"/>
  <c r="H4" i="4"/>
  <c r="G3" i="4"/>
  <c r="G4" i="4" s="1"/>
  <c r="G5" i="4" s="1"/>
  <c r="G6" i="4" s="1"/>
  <c r="G7" i="4" s="1"/>
  <c r="G8" i="4" s="1"/>
  <c r="H3" i="4"/>
  <c r="I3" i="4" s="1"/>
  <c r="L8" i="3"/>
  <c r="M2" i="3" s="1"/>
  <c r="M7" i="3"/>
  <c r="M6" i="3"/>
  <c r="M5" i="3"/>
  <c r="M4" i="3"/>
  <c r="M3" i="3"/>
  <c r="H9" i="2"/>
  <c r="H16" i="2" s="1"/>
  <c r="F7" i="3"/>
  <c r="G2" i="3" s="1"/>
  <c r="AI3" i="4" l="1"/>
  <c r="AJ3" i="4" s="1"/>
  <c r="AH3" i="4"/>
  <c r="AJ4" i="4"/>
  <c r="AJ5" i="4"/>
  <c r="AJ6" i="4"/>
  <c r="AA3" i="4"/>
  <c r="Y3" i="4"/>
  <c r="Y4" i="4" s="1"/>
  <c r="Y5" i="4" s="1"/>
  <c r="Y6" i="4" s="1"/>
  <c r="Y7" i="4" s="1"/>
  <c r="Y8" i="4" s="1"/>
  <c r="Y9" i="4" s="1"/>
  <c r="Y10" i="4" s="1"/>
  <c r="Y11" i="4" s="1"/>
  <c r="AA4" i="4"/>
  <c r="AA5" i="4"/>
  <c r="AA6" i="4"/>
  <c r="AA7" i="4"/>
  <c r="AA8" i="4"/>
  <c r="AA9" i="4" s="1"/>
  <c r="AA10" i="4" s="1"/>
  <c r="AA11" i="4" s="1"/>
  <c r="R3" i="4"/>
  <c r="P3" i="4"/>
  <c r="P4" i="4" s="1"/>
  <c r="P5" i="4" s="1"/>
  <c r="P6" i="4" s="1"/>
  <c r="P7" i="4" s="1"/>
  <c r="P8" i="4" s="1"/>
  <c r="P9" i="4" s="1"/>
  <c r="R4" i="4"/>
  <c r="R5" i="4"/>
  <c r="R6" i="4"/>
  <c r="R7" i="4"/>
  <c r="R8" i="4"/>
  <c r="R9" i="4" s="1"/>
  <c r="I4" i="4"/>
  <c r="I5" i="4"/>
  <c r="I6" i="4"/>
  <c r="I7" i="4"/>
  <c r="I8" i="4"/>
  <c r="G4" i="3"/>
  <c r="G5" i="3"/>
  <c r="G6" i="3"/>
  <c r="G3" i="3"/>
  <c r="AH4" i="4" l="1"/>
  <c r="AH5" i="4" s="1"/>
  <c r="AH6" i="4" s="1"/>
  <c r="H1" i="2"/>
  <c r="H1" i="2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<sst xmlns="http://schemas.openxmlformats.org/spreadsheetml/2006/main" count="1113" uniqueCount="217">
  <si>
    <t>¿De qué color es tu celular?</t>
  </si>
  <si>
    <t>¿Qué marca es tu celular?</t>
  </si>
  <si>
    <t>¿Qué modelo es tu celular?</t>
  </si>
  <si>
    <t>¿Cuánto tarda en cargarse tu celular? (horas)</t>
  </si>
  <si>
    <t>¿Cuántos meses llevas usando tu celular?</t>
  </si>
  <si>
    <t>¿Cuál es el tamaño de la batería de tu celular? miliamperios-hora (mAh)</t>
  </si>
  <si>
    <t>¿Cuántos gigabytes de datos consumes en tu plan de celular cada mes?</t>
  </si>
  <si>
    <t>¿De cuántas pulgadas es tu celular?</t>
  </si>
  <si>
    <t>¿Cuánto es el voltaje de carga de tu celular? voltios (V)</t>
  </si>
  <si>
    <t>Cuanto tarda tu telefono en descargarte en horas</t>
  </si>
  <si>
    <t>Azul</t>
  </si>
  <si>
    <t>Xiaomi</t>
  </si>
  <si>
    <t>iPhone 12</t>
  </si>
  <si>
    <t>Samsung</t>
  </si>
  <si>
    <t>Samsung Galaxy S21</t>
  </si>
  <si>
    <t>Rojo</t>
  </si>
  <si>
    <t>Huawei</t>
  </si>
  <si>
    <t>Oppo Reno 6</t>
  </si>
  <si>
    <t>Gris</t>
  </si>
  <si>
    <t>Huawei P40</t>
  </si>
  <si>
    <t>Negro</t>
  </si>
  <si>
    <t>Xiaomi Mi 11</t>
  </si>
  <si>
    <t xml:space="preserve"> </t>
  </si>
  <si>
    <t>Oppo</t>
  </si>
  <si>
    <t>Motorola Edge</t>
  </si>
  <si>
    <t>Iphone</t>
  </si>
  <si>
    <t>Blanco</t>
  </si>
  <si>
    <t>Motorola</t>
  </si>
  <si>
    <t>iPhone X</t>
  </si>
  <si>
    <t>Samsung Galaxy S20</t>
  </si>
  <si>
    <t>Oppo Find X3</t>
  </si>
  <si>
    <t>Huawei Mate 40</t>
  </si>
  <si>
    <t>Xiaomi Redmi Note 10</t>
  </si>
  <si>
    <t>Motorola Moto G Power</t>
  </si>
  <si>
    <t>iPhone 12 Pro</t>
  </si>
  <si>
    <t>Samsung Galaxy A52</t>
  </si>
  <si>
    <t>Oppo A74</t>
  </si>
  <si>
    <t>Huawei Nova 8</t>
  </si>
  <si>
    <t>Xiaomi Mi 10T</t>
  </si>
  <si>
    <t>Motorola Moto G Stylus</t>
  </si>
  <si>
    <t>iPhone SE</t>
  </si>
  <si>
    <t>Samsung Galaxy Note 20</t>
  </si>
  <si>
    <t>Oppo F19</t>
  </si>
  <si>
    <t>Huawei P30 Lite</t>
  </si>
  <si>
    <t>Xiaomi Poco X3</t>
  </si>
  <si>
    <t>Motorola Moto E7</t>
  </si>
  <si>
    <t>iPhone 11</t>
  </si>
  <si>
    <t>Samsung Galaxy A71</t>
  </si>
  <si>
    <t>Oppo A15</t>
  </si>
  <si>
    <t>Huawei Y9 Prime</t>
  </si>
  <si>
    <t>Xiaomi Redmi 9</t>
  </si>
  <si>
    <t>Motorola Moto G Fast</t>
  </si>
  <si>
    <t>iPhone 12 Mini</t>
  </si>
  <si>
    <t>Samsung Galaxy S10</t>
  </si>
  <si>
    <t>Oppo F11</t>
  </si>
  <si>
    <t>Huawei P20 Pro</t>
  </si>
  <si>
    <t>Xiaomi Mi 9T</t>
  </si>
  <si>
    <t>Motorola Moto G Play</t>
  </si>
  <si>
    <t>iPhone XR</t>
  </si>
  <si>
    <t>Samsung Galaxy A32</t>
  </si>
  <si>
    <t>Oppo A53</t>
  </si>
  <si>
    <t>Huawei Nova 5T</t>
  </si>
  <si>
    <t>Xiaomi Redmi Note 9</t>
  </si>
  <si>
    <t>Motorola Moto G6</t>
  </si>
  <si>
    <t>iPhone 13</t>
  </si>
  <si>
    <t>Samsung Galaxy S9</t>
  </si>
  <si>
    <t>Oppo Reno 5</t>
  </si>
  <si>
    <t>Huawei Mate 30</t>
  </si>
  <si>
    <t>Xiaomi Mi A3</t>
  </si>
  <si>
    <t>Motorola Moto G9 Plus</t>
  </si>
  <si>
    <t>iPhone 11 Pro</t>
  </si>
  <si>
    <t>Samsung Galaxy A12</t>
  </si>
  <si>
    <t>Oppo A9</t>
  </si>
  <si>
    <t>Huawei P10</t>
  </si>
  <si>
    <t>Xiaomi Mi 8</t>
  </si>
  <si>
    <t>Motorola Moto G5 Plus</t>
  </si>
  <si>
    <t>iPhone 14</t>
  </si>
  <si>
    <t>Samsung Galaxy S8</t>
  </si>
  <si>
    <t>Oppo A5</t>
  </si>
  <si>
    <t>Huawei P50</t>
  </si>
  <si>
    <t>Xiaomi Redmi 8</t>
  </si>
  <si>
    <t>Motorola Moto G4</t>
  </si>
  <si>
    <t>iPhone 12 Pro Max</t>
  </si>
  <si>
    <t>Samsung Galaxy Note 10</t>
  </si>
  <si>
    <t>Oppo F21</t>
  </si>
  <si>
    <t>Huawei Nova 7</t>
  </si>
  <si>
    <t>Xiaomi Mi Mix 4</t>
  </si>
  <si>
    <t>Motorola Moto X</t>
  </si>
  <si>
    <t>iPhone XS</t>
  </si>
  <si>
    <t>Samsung Galaxy A42</t>
  </si>
  <si>
    <t>Oppo Reno 4</t>
  </si>
  <si>
    <t>Huawei P30</t>
  </si>
  <si>
    <t>Xiaomi Mi 11 Lite</t>
  </si>
  <si>
    <t>Motorola Moto G10</t>
  </si>
  <si>
    <t>iPhone SE (2020)</t>
  </si>
  <si>
    <t>Samsung Galaxy S7</t>
  </si>
  <si>
    <t>Oppo A7</t>
  </si>
  <si>
    <t>Huawei Mate 20</t>
  </si>
  <si>
    <t>Xiaomi Redmi Note 8</t>
  </si>
  <si>
    <t>Motorola Moto G3</t>
  </si>
  <si>
    <t>iPhone 13 Pro</t>
  </si>
  <si>
    <t>Samsung Galaxy A22</t>
  </si>
  <si>
    <t>Oppo A92</t>
  </si>
  <si>
    <t>Huawei P9</t>
  </si>
  <si>
    <t>Xiaomi Mi 6</t>
  </si>
  <si>
    <t>Motorola Moto Z</t>
  </si>
  <si>
    <t>iPhone 11 Pro Max</t>
  </si>
  <si>
    <t>Samsung Galaxy S6</t>
  </si>
  <si>
    <t>Oppo Reno 3</t>
  </si>
  <si>
    <t>Huawei Nova 6</t>
  </si>
  <si>
    <t>Xiaomi Mi 9</t>
  </si>
  <si>
    <t>Motorola Moto G2</t>
  </si>
  <si>
    <t>iPhone 8</t>
  </si>
  <si>
    <t>Samsung Galaxy A52s</t>
  </si>
  <si>
    <t>Oppo F15</t>
  </si>
  <si>
    <t>Huawei P8</t>
  </si>
  <si>
    <t>Xiaomi Redmi 7</t>
  </si>
  <si>
    <t>Motorola Moto G1</t>
  </si>
  <si>
    <t>iPhone 13 Mini</t>
  </si>
  <si>
    <t>Samsung Galaxy Note 9</t>
  </si>
  <si>
    <t>Oppo A3s</t>
  </si>
  <si>
    <t>Huawei Mate 10</t>
  </si>
  <si>
    <t>Xiaomi Mi 5</t>
  </si>
  <si>
    <t>Motorola Moto X4</t>
  </si>
  <si>
    <t>iPhone 6</t>
  </si>
  <si>
    <t>Samsung Galaxy A72</t>
  </si>
  <si>
    <t>Oppo A31</t>
  </si>
  <si>
    <t>Huawei P7</t>
  </si>
  <si>
    <t>Xiaomi Redmi 6</t>
  </si>
  <si>
    <t>Motorola Moto G6 Play</t>
  </si>
  <si>
    <t>iPhone 15</t>
  </si>
  <si>
    <t>Samsung Galaxy S5</t>
  </si>
  <si>
    <t>Oppo F9</t>
  </si>
  <si>
    <t>Huawei Nova 4</t>
  </si>
  <si>
    <t>Xiaomi Mi 10</t>
  </si>
  <si>
    <t>Motorola Razr</t>
  </si>
  <si>
    <t>iPhone 7</t>
  </si>
  <si>
    <t>Samsung Galaxy A21</t>
  </si>
  <si>
    <t>Oppo A12</t>
  </si>
  <si>
    <t>Huawei P6</t>
  </si>
  <si>
    <t>Xiaomi Redmi 5</t>
  </si>
  <si>
    <t>Motorola Moto E6</t>
  </si>
  <si>
    <t>iPhone 16</t>
  </si>
  <si>
    <t>Samsung Galaxy Note 8</t>
  </si>
  <si>
    <t>Oppo Reno 2</t>
  </si>
  <si>
    <t>Huawei Mate 9</t>
  </si>
  <si>
    <t>Xiaomi Mi 4</t>
  </si>
  <si>
    <t>Motorola Moto G Turbo</t>
  </si>
  <si>
    <t>iPhone 5</t>
  </si>
  <si>
    <t>Samsung Galaxy A11</t>
  </si>
  <si>
    <t>Oppo F7</t>
  </si>
  <si>
    <t>Huawei Nova 3</t>
  </si>
  <si>
    <t>Xiaomi Mi Note 10</t>
  </si>
  <si>
    <t>Motorola Moto E5</t>
  </si>
  <si>
    <t>iPhone 17</t>
  </si>
  <si>
    <t>Samsung Galaxy S4</t>
  </si>
  <si>
    <t>Oppo A8</t>
  </si>
  <si>
    <t>Huawei P5</t>
  </si>
  <si>
    <t>Xiaomi Redmi 4</t>
  </si>
  <si>
    <t>Motorola Moto G7</t>
  </si>
  <si>
    <t>iPhone 4S</t>
  </si>
  <si>
    <t>Samsung Galaxy A02s</t>
  </si>
  <si>
    <t>Oppo Reno 1</t>
  </si>
  <si>
    <t>Huawei Mate 8</t>
  </si>
  <si>
    <t>Xiaomi Mi 3</t>
  </si>
  <si>
    <t>Motorola Moto X3</t>
  </si>
  <si>
    <t>Medidas de Tendencia Central</t>
  </si>
  <si>
    <t>Media</t>
  </si>
  <si>
    <t>No Clase</t>
  </si>
  <si>
    <t>LI</t>
  </si>
  <si>
    <t>LS</t>
  </si>
  <si>
    <t>MC</t>
  </si>
  <si>
    <t>F</t>
  </si>
  <si>
    <t>FA</t>
  </si>
  <si>
    <t>FR</t>
  </si>
  <si>
    <t>FRA</t>
  </si>
  <si>
    <t>Error típico</t>
  </si>
  <si>
    <t>Mediana</t>
  </si>
  <si>
    <t>Moda</t>
  </si>
  <si>
    <t>Medidas de Variabilidad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</si>
  <si>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</si>
  <si>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</si>
  <si>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</si>
  <si>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</si>
  <si>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</si>
  <si>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</si>
  <si>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</si>
  <si>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</si>
  <si>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Cuenta</t>
  </si>
  <si>
    <t>Total</t>
  </si>
  <si>
    <t>No Clases</t>
  </si>
  <si>
    <t>Tamaño de Clase</t>
  </si>
  <si>
    <t>tamano de pantalla</t>
  </si>
  <si>
    <t>Numeros de pantallas</t>
  </si>
  <si>
    <t>Meses de uso de celular</t>
  </si>
  <si>
    <t>mAh de bateria</t>
  </si>
  <si>
    <t>COLOR</t>
  </si>
  <si>
    <t>FRECUENCIA</t>
  </si>
  <si>
    <t>F. RELATIVA</t>
  </si>
  <si>
    <t>PORCENTAJE</t>
  </si>
  <si>
    <t>MARCA</t>
  </si>
  <si>
    <t>MODELO</t>
  </si>
  <si>
    <t>AZUL</t>
  </si>
  <si>
    <t>ROJO</t>
  </si>
  <si>
    <t>Xiaomi Redmi Note 1</t>
  </si>
  <si>
    <t>GRIS</t>
  </si>
  <si>
    <t>Motorola Moto G Power (2021)</t>
  </si>
  <si>
    <t>NEGRO</t>
  </si>
  <si>
    <t>BLANCO</t>
  </si>
  <si>
    <t>Huawei P40 Pro</t>
  </si>
  <si>
    <t>Huawei Mate 40 Pro</t>
  </si>
  <si>
    <t>OPPO Find X3 Pro</t>
  </si>
  <si>
    <t>OPPO Reno6 Pro</t>
  </si>
  <si>
    <t>Motorola Moto G Stylus (2021)</t>
  </si>
  <si>
    <t>te puedo ayudar a h</t>
  </si>
  <si>
    <t>Cuanto tarda tu telefono en descargarte en horas (uso totamlmente continuo)</t>
  </si>
  <si>
    <t>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</si>
</sst>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_-[$$-80A]* #,##0.00_-;\-[$$-80A]* #,##0.00_-;_-[$$-80A]* &quot;-&quot;??_-;_-@_-"/>
    <numFmt numFmtId="166" formatCode="0.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name val="Arial"/>
    </font>
    <font>
      <sz val="12"/>
      <color rgb="FFD1D5DB"/>
      <name val="Söhne"/>
      <charset val="1"/>
    </font>
    <font>
      <i/>
      <sz val="10"/>
      <name val="Arial"/>
      <family val="2"/>
    </font>
    <font>
      <sz val="10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4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rgb="FF000000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3" xfId="0" applyFill="1" applyBorder="1"/>
    <xf numFmtId="164" fontId="0" fillId="3" borderId="4" xfId="0" applyNumberFormat="1" applyFill="1" applyBorder="1"/>
    <xf numFmtId="0" fontId="0" fillId="2" borderId="0" xfId="0" applyFill="1"/>
    <xf numFmtId="164" fontId="0" fillId="0" borderId="6" xfId="0" applyNumberFormat="1" applyBorder="1"/>
    <xf numFmtId="164" fontId="0" fillId="3" borderId="6" xfId="0" applyNumberFormat="1" applyFill="1" applyBorder="1"/>
    <xf numFmtId="0" fontId="0" fillId="2" borderId="8" xfId="0" applyFill="1" applyBorder="1"/>
    <xf numFmtId="164" fontId="0" fillId="3" borderId="9" xfId="0" applyNumberFormat="1" applyFill="1" applyBorder="1"/>
    <xf numFmtId="0" fontId="0" fillId="4" borderId="3" xfId="0" applyFill="1" applyBorder="1"/>
    <xf numFmtId="0" fontId="0" fillId="4" borderId="0" xfId="0" applyFill="1"/>
    <xf numFmtId="0" fontId="0" fillId="0" borderId="6" xfId="0" applyBorder="1"/>
    <xf numFmtId="0" fontId="0" fillId="4" borderId="8" xfId="0" applyFill="1" applyBorder="1"/>
    <xf numFmtId="0" fontId="0" fillId="0" borderId="9" xfId="0" applyBorder="1"/>
    <xf numFmtId="0" fontId="4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0" xfId="0" applyFont="1"/>
    <xf numFmtId="164" fontId="0" fillId="0" borderId="0" xfId="0" applyNumberFormat="1"/>
    <xf numFmtId="166" fontId="0" fillId="0" borderId="10" xfId="0" applyNumberFormat="1" applyBorder="1" applyAlignment="1">
      <alignment horizontal="center"/>
    </xf>
    <xf numFmtId="166" fontId="4" fillId="0" borderId="10" xfId="0" applyNumberFormat="1" applyFont="1" applyBorder="1" applyAlignment="1">
      <alignment horizontal="center"/>
    </xf>
    <xf numFmtId="166" fontId="0" fillId="0" borderId="14" xfId="0" applyNumberForma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0" fillId="0" borderId="11" xfId="0" applyBorder="1"/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10" xfId="0" applyBorder="1" applyAlignment="1">
      <alignment vertical="center"/>
    </xf>
    <xf numFmtId="9" fontId="0" fillId="0" borderId="10" xfId="1" applyFont="1" applyBorder="1" applyAlignment="1">
      <alignment vertical="center"/>
    </xf>
    <xf numFmtId="0" fontId="0" fillId="0" borderId="18" xfId="0" applyBorder="1" applyAlignment="1">
      <alignment vertical="center"/>
    </xf>
    <xf numFmtId="9" fontId="0" fillId="0" borderId="18" xfId="1" applyFont="1" applyBorder="1" applyAlignment="1">
      <alignment vertical="center"/>
    </xf>
    <xf numFmtId="0" fontId="0" fillId="6" borderId="19" xfId="0" applyFill="1" applyBorder="1" applyAlignment="1">
      <alignment vertical="center"/>
    </xf>
    <xf numFmtId="0" fontId="0" fillId="6" borderId="20" xfId="0" applyFill="1" applyBorder="1" applyAlignment="1">
      <alignment vertical="center"/>
    </xf>
    <xf numFmtId="0" fontId="0" fillId="6" borderId="21" xfId="0" applyFill="1" applyBorder="1" applyAlignment="1">
      <alignment vertical="center"/>
    </xf>
    <xf numFmtId="0" fontId="0" fillId="0" borderId="13" xfId="0" applyBorder="1"/>
    <xf numFmtId="0" fontId="0" fillId="3" borderId="4" xfId="0" applyFill="1" applyBorder="1"/>
    <xf numFmtId="0" fontId="0" fillId="3" borderId="6" xfId="0" applyFill="1" applyBorder="1"/>
    <xf numFmtId="0" fontId="0" fillId="3" borderId="9" xfId="0" applyFill="1" applyBorder="1"/>
    <xf numFmtId="2" fontId="0" fillId="0" borderId="0" xfId="0" applyNumberFormat="1"/>
    <xf numFmtId="20" fontId="5" fillId="0" borderId="0" xfId="0" applyNumberFormat="1" applyFont="1"/>
    <xf numFmtId="20" fontId="0" fillId="0" borderId="0" xfId="0" applyNumberFormat="1"/>
    <xf numFmtId="9" fontId="4" fillId="0" borderId="10" xfId="0" applyNumberFormat="1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166" fontId="0" fillId="0" borderId="10" xfId="0" applyNumberFormat="1" applyBorder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9" fontId="4" fillId="0" borderId="10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66" fontId="4" fillId="0" borderId="10" xfId="0" applyNumberFormat="1" applyFont="1" applyBorder="1" applyAlignment="1">
      <alignment horizontal="center" vertical="center"/>
    </xf>
    <xf numFmtId="0" fontId="0" fillId="0" borderId="11" xfId="1" applyNumberFormat="1" applyFont="1" applyBorder="1" applyAlignment="1">
      <alignment horizontal="center" vertical="center"/>
    </xf>
    <xf numFmtId="166" fontId="4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66" fontId="4" fillId="0" borderId="16" xfId="0" applyNumberFormat="1" applyFon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9" fontId="4" fillId="0" borderId="16" xfId="0" applyNumberFormat="1" applyFont="1" applyBorder="1" applyAlignment="1">
      <alignment horizontal="center"/>
    </xf>
    <xf numFmtId="166" fontId="4" fillId="0" borderId="23" xfId="0" applyNumberFormat="1" applyFont="1" applyBorder="1" applyAlignment="1">
      <alignment horizontal="center"/>
    </xf>
    <xf numFmtId="166" fontId="0" fillId="0" borderId="24" xfId="0" applyNumberFormat="1" applyBorder="1" applyAlignment="1">
      <alignment horizontal="center"/>
    </xf>
    <xf numFmtId="0" fontId="4" fillId="0" borderId="25" xfId="0" applyFont="1" applyBorder="1" applyAlignment="1">
      <alignment horizontal="center"/>
    </xf>
    <xf numFmtId="9" fontId="4" fillId="0" borderId="23" xfId="0" applyNumberFormat="1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166" fontId="4" fillId="0" borderId="26" xfId="0" applyNumberFormat="1" applyFont="1" applyBorder="1" applyAlignment="1">
      <alignment horizontal="center"/>
    </xf>
    <xf numFmtId="166" fontId="0" fillId="0" borderId="26" xfId="0" applyNumberFormat="1" applyBorder="1" applyAlignment="1">
      <alignment horizontal="center"/>
    </xf>
    <xf numFmtId="0" fontId="0" fillId="0" borderId="26" xfId="0" applyBorder="1"/>
    <xf numFmtId="0" fontId="0" fillId="0" borderId="17" xfId="0" applyBorder="1" applyAlignment="1">
      <alignment horizontal="center"/>
    </xf>
    <xf numFmtId="0" fontId="0" fillId="7" borderId="20" xfId="0" applyFill="1" applyBorder="1" applyAlignment="1">
      <alignment vertical="center"/>
    </xf>
    <xf numFmtId="0" fontId="0" fillId="7" borderId="21" xfId="0" applyFill="1" applyBorder="1" applyAlignment="1">
      <alignment vertical="center"/>
    </xf>
    <xf numFmtId="0" fontId="0" fillId="7" borderId="27" xfId="0" applyFill="1" applyBorder="1" applyAlignment="1">
      <alignment vertical="center"/>
    </xf>
    <xf numFmtId="0" fontId="0" fillId="3" borderId="20" xfId="0" applyFill="1" applyBorder="1" applyAlignment="1">
      <alignment vertical="center"/>
    </xf>
    <xf numFmtId="0" fontId="0" fillId="3" borderId="21" xfId="0" applyFill="1" applyBorder="1" applyAlignment="1">
      <alignment vertical="center"/>
    </xf>
    <xf numFmtId="0" fontId="6" fillId="0" borderId="28" xfId="0" applyFont="1" applyBorder="1" applyAlignment="1">
      <alignment horizontal="centerContinuous"/>
    </xf>
    <xf numFmtId="0" fontId="7" fillId="2" borderId="1" xfId="0" applyFont="1" applyFill="1" applyBorder="1" applyAlignment="1">
      <alignment horizontal="center" vertical="center"/>
    </xf>
    <xf numFmtId="0" fontId="0" fillId="0" borderId="11" xfId="0" applyBorder="1" applyAlignment="1">
      <alignment vertical="center"/>
    </xf>
    <xf numFmtId="9" fontId="0" fillId="0" borderId="11" xfId="1" applyFont="1" applyBorder="1" applyAlignment="1">
      <alignment vertical="center"/>
    </xf>
    <xf numFmtId="9" fontId="0" fillId="0" borderId="11" xfId="0" applyNumberFormat="1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22" xfId="0" applyBorder="1" applyAlignment="1">
      <alignment vertical="center"/>
    </xf>
    <xf numFmtId="9" fontId="0" fillId="0" borderId="16" xfId="1" applyFont="1" applyBorder="1" applyAlignment="1">
      <alignment vertical="center"/>
    </xf>
    <xf numFmtId="0" fontId="3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10" fontId="0" fillId="0" borderId="11" xfId="0" applyNumberFormat="1" applyBorder="1" applyAlignment="1">
      <alignment horizontal="center"/>
    </xf>
    <xf numFmtId="2" fontId="0" fillId="0" borderId="11" xfId="0" applyNumberFormat="1" applyBorder="1"/>
    <xf numFmtId="0" fontId="0" fillId="0" borderId="12" xfId="0" applyBorder="1" applyAlignment="1">
      <alignment horizontal="center"/>
    </xf>
    <xf numFmtId="0" fontId="4" fillId="7" borderId="18" xfId="0" applyFont="1" applyFill="1" applyBorder="1" applyAlignment="1">
      <alignment horizontal="center"/>
    </xf>
    <xf numFmtId="165" fontId="4" fillId="7" borderId="18" xfId="0" applyNumberFormat="1" applyFont="1" applyFill="1" applyBorder="1" applyAlignment="1">
      <alignment horizontal="center"/>
    </xf>
    <xf numFmtId="0" fontId="4" fillId="7" borderId="22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165" fontId="4" fillId="7" borderId="10" xfId="0" applyNumberFormat="1" applyFont="1" applyFill="1" applyBorder="1" applyAlignment="1">
      <alignment horizontal="center"/>
    </xf>
    <xf numFmtId="0" fontId="4" fillId="7" borderId="16" xfId="0" applyFont="1" applyFill="1" applyBorder="1" applyAlignment="1">
      <alignment horizontal="center"/>
    </xf>
    <xf numFmtId="0" fontId="0" fillId="0" borderId="16" xfId="0" applyBorder="1" applyAlignment="1">
      <alignment horizontal="center" vertical="center"/>
    </xf>
    <xf numFmtId="166" fontId="4" fillId="0" borderId="16" xfId="0" applyNumberFormat="1" applyFont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0" fontId="0" fillId="0" borderId="12" xfId="1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9" fontId="4" fillId="0" borderId="16" xfId="0" applyNumberFormat="1" applyFont="1" applyBorder="1" applyAlignment="1">
      <alignment horizontal="center" vertical="center"/>
    </xf>
    <xf numFmtId="0" fontId="0" fillId="0" borderId="0" xfId="1" applyNumberFormat="1" applyFont="1" applyBorder="1"/>
    <xf numFmtId="0" fontId="4" fillId="0" borderId="29" xfId="0" applyFont="1" applyBorder="1" applyAlignment="1">
      <alignment horizontal="center"/>
    </xf>
    <xf numFmtId="166" fontId="4" fillId="0" borderId="29" xfId="0" applyNumberFormat="1" applyFont="1" applyBorder="1" applyAlignment="1">
      <alignment horizontal="center"/>
    </xf>
    <xf numFmtId="166" fontId="0" fillId="0" borderId="29" xfId="0" applyNumberFormat="1" applyBorder="1" applyAlignment="1">
      <alignment horizontal="center"/>
    </xf>
    <xf numFmtId="0" fontId="0" fillId="0" borderId="29" xfId="1" applyNumberFormat="1" applyFont="1" applyBorder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1" xfId="0" applyFont="1" applyBorder="1" applyAlignment="1">
      <alignment wrapText="1"/>
    </xf>
    <xf numFmtId="0" fontId="3" fillId="7" borderId="11" xfId="0" applyFont="1" applyFill="1" applyBorder="1" applyAlignment="1">
      <alignment horizontal="center"/>
    </xf>
    <xf numFmtId="0" fontId="7" fillId="0" borderId="1" xfId="0" applyFont="1" applyBorder="1" applyAlignment="1">
      <alignment vertical="center"/>
    </xf>
    <xf numFmtId="0" fontId="2" fillId="0" borderId="30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0" xfId="0" applyBorder="1"/>
    <xf numFmtId="0" fontId="0" fillId="2" borderId="31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0" fillId="0" borderId="18" xfId="0" applyBorder="1"/>
    <xf numFmtId="0" fontId="0" fillId="3" borderId="27" xfId="0" applyFill="1" applyBorder="1" applyAlignment="1">
      <alignment vertical="center"/>
    </xf>
    <xf numFmtId="0" fontId="0" fillId="0" borderId="35" xfId="0" applyBorder="1" applyAlignment="1">
      <alignment horizontal="center" vertical="center"/>
    </xf>
    <xf numFmtId="0" fontId="0" fillId="0" borderId="32" xfId="0" applyBorder="1"/>
    <xf numFmtId="0" fontId="0" fillId="0" borderId="33" xfId="0" applyBorder="1"/>
    <xf numFmtId="0" fontId="3" fillId="7" borderId="36" xfId="0" applyFont="1" applyFill="1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/>
    <xf numFmtId="0" fontId="0" fillId="0" borderId="38" xfId="0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/>
    </xf>
    <xf numFmtId="10" fontId="0" fillId="0" borderId="12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0" applyFon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0" fillId="0" borderId="40" xfId="0" applyBorder="1" applyAlignment="1">
      <alignment horizontal="center"/>
    </xf>
    <xf numFmtId="0" fontId="3" fillId="0" borderId="40" xfId="0" applyFont="1" applyBorder="1" applyAlignment="1">
      <alignment horizontal="center"/>
    </xf>
    <xf numFmtId="10" fontId="0" fillId="0" borderId="40" xfId="0" applyNumberFormat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Marca de clase y frecuencia de consumo de plan de internet</a:t>
            </a:r>
          </a:p>
        </c:rich>
      </c:tx>
      <c:layout>
        <c:manualLayout>
          <c:xMode val="edge"/>
          <c:yMode val="edge"/>
          <c:x val="0.23542203572164519"/>
          <c:y val="3.38349270947463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Continuas!$N$2:$N$13</c:f>
              <c:numCache>
                <c:formatCode>General</c:formatCode>
                <c:ptCount val="12"/>
                <c:pt idx="0">
                  <c:v>9</c:v>
                </c:pt>
                <c:pt idx="1">
                  <c:v>9</c:v>
                </c:pt>
                <c:pt idx="2">
                  <c:v>8</c:v>
                </c:pt>
                <c:pt idx="3">
                  <c:v>12</c:v>
                </c:pt>
                <c:pt idx="4">
                  <c:v>15</c:v>
                </c:pt>
                <c:pt idx="5">
                  <c:v>10</c:v>
                </c:pt>
                <c:pt idx="6">
                  <c:v>11</c:v>
                </c:pt>
                <c:pt idx="7">
                  <c:v>14</c:v>
                </c:pt>
                <c:pt idx="8">
                  <c:v>10</c:v>
                </c:pt>
                <c:pt idx="9">
                  <c:v>8</c:v>
                </c:pt>
                <c:pt idx="10">
                  <c:v>11</c:v>
                </c:pt>
                <c:pt idx="1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97-4FBC-8800-AAF39582AA71}"/>
            </c:ext>
          </c:extLst>
        </c:ser>
        <c:ser>
          <c:idx val="0"/>
          <c:order val="1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Continuas!$M$2:$M$13</c:f>
              <c:numCache>
                <c:formatCode>0.0</c:formatCode>
                <c:ptCount val="12"/>
                <c:pt idx="0">
                  <c:v>1.165</c:v>
                </c:pt>
                <c:pt idx="1">
                  <c:v>1.5049999999999999</c:v>
                </c:pt>
                <c:pt idx="2">
                  <c:v>1.84</c:v>
                </c:pt>
                <c:pt idx="3">
                  <c:v>2.17</c:v>
                </c:pt>
                <c:pt idx="4">
                  <c:v>2.5049999999999999</c:v>
                </c:pt>
                <c:pt idx="5">
                  <c:v>2.84</c:v>
                </c:pt>
                <c:pt idx="6">
                  <c:v>3.17</c:v>
                </c:pt>
                <c:pt idx="7">
                  <c:v>3.5049999999999999</c:v>
                </c:pt>
                <c:pt idx="8">
                  <c:v>3.84</c:v>
                </c:pt>
                <c:pt idx="9">
                  <c:v>4.17</c:v>
                </c:pt>
                <c:pt idx="10">
                  <c:v>4.5049999999999999</c:v>
                </c:pt>
                <c:pt idx="11">
                  <c:v>4.84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97-4FBC-8800-AAF39582A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7"/>
        <c:axId val="149211096"/>
        <c:axId val="149219528"/>
      </c:barChart>
      <c:catAx>
        <c:axId val="149211096"/>
        <c:scaling>
          <c:orientation val="minMax"/>
        </c:scaling>
        <c:delete val="0"/>
        <c:axPos val="l"/>
        <c:majorTickMark val="in"/>
        <c:minorTickMark val="out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9219528"/>
        <c:crosses val="autoZero"/>
        <c:auto val="1"/>
        <c:lblAlgn val="ctr"/>
        <c:lblOffset val="100"/>
        <c:noMultiLvlLbl val="0"/>
      </c:catAx>
      <c:valAx>
        <c:axId val="149219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9211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Frecuencia del tamaño de las pantallas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556-4432-AB7D-44145BCC857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556-4432-AB7D-44145BCC857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556-4432-AB7D-44145BCC857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556-4432-AB7D-44145BCC857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556-4432-AB7D-44145BCC857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556-4432-AB7D-44145BCC857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556-4432-AB7D-44145BCC857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556-4432-AB7D-44145BCC857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556-4432-AB7D-44145BCC857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556-4432-AB7D-44145BCC857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556-4432-AB7D-44145BCC857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7556-4432-AB7D-44145BCC857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Continuas!$N$23:$N$34</c:f>
              <c:numCache>
                <c:formatCode>General</c:formatCode>
                <c:ptCount val="12"/>
                <c:pt idx="0">
                  <c:v>21</c:v>
                </c:pt>
                <c:pt idx="1">
                  <c:v>20</c:v>
                </c:pt>
                <c:pt idx="2">
                  <c:v>23</c:v>
                </c:pt>
                <c:pt idx="3">
                  <c:v>15</c:v>
                </c:pt>
                <c:pt idx="4">
                  <c:v>19</c:v>
                </c:pt>
                <c:pt idx="5">
                  <c:v>18</c:v>
                </c:pt>
                <c:pt idx="6">
                  <c:v>15</c:v>
                </c:pt>
                <c:pt idx="7">
                  <c:v>15</c:v>
                </c:pt>
                <c:pt idx="8">
                  <c:v>14</c:v>
                </c:pt>
                <c:pt idx="9">
                  <c:v>9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33-497F-9D6F-C14C70D5F868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7556-4432-AB7D-44145BCC857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7556-4432-AB7D-44145BCC857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7556-4432-AB7D-44145BCC857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7556-4432-AB7D-44145BCC857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7556-4432-AB7D-44145BCC857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7556-4432-AB7D-44145BCC857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7556-4432-AB7D-44145BCC857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7556-4432-AB7D-44145BCC857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7556-4432-AB7D-44145BCC857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7556-4432-AB7D-44145BCC857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7556-4432-AB7D-44145BCC857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7556-4432-AB7D-44145BCC857A}"/>
              </c:ext>
            </c:extLst>
          </c:dPt>
          <c:val>
            <c:numRef>
              <c:f>Continuas!$O$23:$O$34</c:f>
              <c:numCache>
                <c:formatCode>General</c:formatCode>
                <c:ptCount val="12"/>
                <c:pt idx="0">
                  <c:v>21</c:v>
                </c:pt>
                <c:pt idx="1">
                  <c:v>41</c:v>
                </c:pt>
                <c:pt idx="2">
                  <c:v>64</c:v>
                </c:pt>
                <c:pt idx="3">
                  <c:v>79</c:v>
                </c:pt>
                <c:pt idx="4">
                  <c:v>98</c:v>
                </c:pt>
                <c:pt idx="5">
                  <c:v>116</c:v>
                </c:pt>
                <c:pt idx="6">
                  <c:v>131</c:v>
                </c:pt>
                <c:pt idx="7">
                  <c:v>146</c:v>
                </c:pt>
                <c:pt idx="8">
                  <c:v>160</c:v>
                </c:pt>
                <c:pt idx="9">
                  <c:v>169</c:v>
                </c:pt>
                <c:pt idx="10">
                  <c:v>172</c:v>
                </c:pt>
                <c:pt idx="11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33-497F-9D6F-C14C70D5F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Frecuencia del vontaje de tu carga</a:t>
            </a:r>
          </a:p>
        </c:rich>
      </c:tx>
      <c:layout>
        <c:manualLayout>
          <c:xMode val="edge"/>
          <c:yMode val="edge"/>
          <c:x val="0.25813684052073782"/>
          <c:y val="4.04039548582987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Continuas!$P$40:$P$51</c:f>
              <c:numCache>
                <c:formatCode>0%</c:formatCode>
                <c:ptCount val="12"/>
                <c:pt idx="0">
                  <c:v>0.05</c:v>
                </c:pt>
                <c:pt idx="1">
                  <c:v>0.1</c:v>
                </c:pt>
                <c:pt idx="2">
                  <c:v>0.13</c:v>
                </c:pt>
                <c:pt idx="3">
                  <c:v>0.1</c:v>
                </c:pt>
                <c:pt idx="4">
                  <c:v>0.1</c:v>
                </c:pt>
                <c:pt idx="5">
                  <c:v>0.17</c:v>
                </c:pt>
                <c:pt idx="6">
                  <c:v>0.06</c:v>
                </c:pt>
                <c:pt idx="7">
                  <c:v>0.08</c:v>
                </c:pt>
                <c:pt idx="8">
                  <c:v>0.08</c:v>
                </c:pt>
                <c:pt idx="9">
                  <c:v>0.08</c:v>
                </c:pt>
                <c:pt idx="10">
                  <c:v>0.01</c:v>
                </c:pt>
                <c:pt idx="11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A2-4A32-9178-0120AAFDF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211592"/>
        <c:axId val="149218536"/>
      </c:lineChart>
      <c:catAx>
        <c:axId val="149211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9218536"/>
        <c:crosses val="autoZero"/>
        <c:auto val="1"/>
        <c:lblAlgn val="ctr"/>
        <c:lblOffset val="100"/>
        <c:noMultiLvlLbl val="0"/>
      </c:catAx>
      <c:valAx>
        <c:axId val="149218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9211592"/>
        <c:crosses val="autoZero"/>
        <c:crossBetween val="between"/>
      </c:valAx>
      <c:dTable>
        <c:showHorzBorder val="0"/>
        <c:showVertBorder val="0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Continuas!$Q$40:$Q$51</c:f>
              <c:numCache>
                <c:formatCode>0%</c:formatCode>
                <c:ptCount val="12"/>
                <c:pt idx="0">
                  <c:v>0.05</c:v>
                </c:pt>
                <c:pt idx="1">
                  <c:v>0.15</c:v>
                </c:pt>
                <c:pt idx="2">
                  <c:v>0.28000000000000003</c:v>
                </c:pt>
                <c:pt idx="3">
                  <c:v>0.38</c:v>
                </c:pt>
                <c:pt idx="4">
                  <c:v>0.48</c:v>
                </c:pt>
                <c:pt idx="5">
                  <c:v>0.65</c:v>
                </c:pt>
                <c:pt idx="6">
                  <c:v>0.71</c:v>
                </c:pt>
                <c:pt idx="7">
                  <c:v>0.79</c:v>
                </c:pt>
                <c:pt idx="8">
                  <c:v>0.87</c:v>
                </c:pt>
                <c:pt idx="9">
                  <c:v>0.95</c:v>
                </c:pt>
                <c:pt idx="10">
                  <c:v>0.96</c:v>
                </c:pt>
                <c:pt idx="11">
                  <c:v>1.0900000000000001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A8-4FD4-8A62-0C26E61EF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4727176"/>
        <c:axId val="1904716264"/>
      </c:areaChart>
      <c:catAx>
        <c:axId val="190472717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04716264"/>
        <c:crosses val="autoZero"/>
        <c:auto val="1"/>
        <c:lblAlgn val="ctr"/>
        <c:lblOffset val="100"/>
        <c:noMultiLvlLbl val="0"/>
      </c:catAx>
      <c:valAx>
        <c:axId val="1904716264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04727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Frecuencia  del tamaño de pantallas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pulgadas de pantalla promedio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.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Discretas!$F$3:$F$7</c:f>
              <c:numCache>
                <c:formatCode>General</c:formatCode>
                <c:ptCount val="5"/>
                <c:pt idx="0">
                  <c:v>54</c:v>
                </c:pt>
                <c:pt idx="1">
                  <c:v>39</c:v>
                </c:pt>
                <c:pt idx="2">
                  <c:v>32</c:v>
                </c:pt>
                <c:pt idx="3">
                  <c:v>9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A18-47E4-9A36-A659E0523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2960007"/>
        <c:axId val="1722967447"/>
      </c:barChart>
      <c:catAx>
        <c:axId val="17229600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22967447"/>
        <c:crosses val="autoZero"/>
        <c:auto val="1"/>
        <c:lblAlgn val="ctr"/>
        <c:lblOffset val="100"/>
        <c:noMultiLvlLbl val="0"/>
      </c:catAx>
      <c:valAx>
        <c:axId val="1722967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22960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42032987223018"/>
          <c:y val="0.89725317248869796"/>
          <c:w val="0.4284936665525505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0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0"/>
          <c:order val="0"/>
          <c:tx>
            <c:v>Meses que llevas usado el celular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8B4-491B-A611-64572B17855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8B4-491B-A611-64572B17855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8B4-491B-A611-64572B17855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8B4-491B-A611-64572B17855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8B4-491B-A611-64572B17855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8B4-491B-A611-64572B17855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8B4-491B-A611-64572B17855A}"/>
              </c:ext>
            </c:extLst>
          </c:dPt>
          <c:dLbls>
            <c:spPr>
              <a:solidFill>
                <a:srgbClr val="D9E1F2"/>
              </a:solidFill>
              <a:ln>
                <a:solidFill>
                  <a:srgbClr val="FFFFFF"/>
                </a:solidFill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1"/>
            <c:showVal val="1"/>
            <c:showCatName val="0"/>
            <c:showSerName val="0"/>
            <c:showPercent val="0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Discretas!$O$3:$O$9</c:f>
              <c:numCache>
                <c:formatCode>General</c:formatCode>
                <c:ptCount val="7"/>
                <c:pt idx="0">
                  <c:v>14</c:v>
                </c:pt>
                <c:pt idx="1">
                  <c:v>24</c:v>
                </c:pt>
                <c:pt idx="2">
                  <c:v>19</c:v>
                </c:pt>
                <c:pt idx="3">
                  <c:v>27</c:v>
                </c:pt>
                <c:pt idx="4">
                  <c:v>25</c:v>
                </c:pt>
                <c:pt idx="5">
                  <c:v>22</c:v>
                </c:pt>
                <c:pt idx="6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32-4C1F-B913-4D208BFA8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mAh de los celulares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Discretas!$X$3:$X$11</c:f>
              <c:numCache>
                <c:formatCode>General</c:formatCode>
                <c:ptCount val="9"/>
                <c:pt idx="0">
                  <c:v>5</c:v>
                </c:pt>
                <c:pt idx="1">
                  <c:v>0</c:v>
                </c:pt>
                <c:pt idx="2">
                  <c:v>74</c:v>
                </c:pt>
                <c:pt idx="3">
                  <c:v>0</c:v>
                </c:pt>
                <c:pt idx="4">
                  <c:v>42</c:v>
                </c:pt>
                <c:pt idx="5">
                  <c:v>0</c:v>
                </c:pt>
                <c:pt idx="6">
                  <c:v>28</c:v>
                </c:pt>
                <c:pt idx="7">
                  <c:v>0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A2-4D57-8CA0-6D77C4C29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032951"/>
        <c:axId val="166037911"/>
      </c:lineChart>
      <c:catAx>
        <c:axId val="1660329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6037911"/>
        <c:crosses val="autoZero"/>
        <c:auto val="1"/>
        <c:lblAlgn val="ctr"/>
        <c:lblOffset val="100"/>
        <c:noMultiLvlLbl val="0"/>
      </c:catAx>
      <c:valAx>
        <c:axId val="166037911"/>
        <c:scaling>
          <c:orientation val="minMax"/>
          <c:max val="7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rgbClr val="E7E6E6"/>
              </a:solidFill>
              <a:prstDash val="solid"/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#,##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6032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Tiempo de descarga en uso continuo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Cantidad de gente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Discretas!$AG$3:$AG$6</c:f>
              <c:numCache>
                <c:formatCode>General</c:formatCode>
                <c:ptCount val="4"/>
                <c:pt idx="0">
                  <c:v>35</c:v>
                </c:pt>
                <c:pt idx="1">
                  <c:v>49</c:v>
                </c:pt>
                <c:pt idx="2">
                  <c:v>27</c:v>
                </c:pt>
                <c:pt idx="3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82-42CF-B5AF-AFFD3B30E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2966951"/>
        <c:axId val="1722956039"/>
      </c:barChart>
      <c:catAx>
        <c:axId val="17229669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horas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22956039"/>
        <c:crosses val="autoZero"/>
        <c:auto val="1"/>
        <c:lblAlgn val="ctr"/>
        <c:lblOffset val="100"/>
        <c:noMultiLvlLbl val="0"/>
      </c:catAx>
      <c:valAx>
        <c:axId val="1722956039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22966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COLORES DE CELULAR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Cualitativas!$E$2:$E$6</c:f>
              <c:strCache>
                <c:ptCount val="5"/>
                <c:pt idx="0">
                  <c:v>AZUL</c:v>
                </c:pt>
                <c:pt idx="1">
                  <c:v>ROJO</c:v>
                </c:pt>
                <c:pt idx="2">
                  <c:v>GRIS</c:v>
                </c:pt>
                <c:pt idx="3">
                  <c:v>NEGRO</c:v>
                </c:pt>
                <c:pt idx="4">
                  <c:v>BLANCO</c:v>
                </c:pt>
              </c:strCache>
            </c:strRef>
          </c:cat>
          <c:val>
            <c:numRef>
              <c:f>Cualitativas!$F$2:$F$6</c:f>
              <c:numCache>
                <c:formatCode>General</c:formatCode>
                <c:ptCount val="5"/>
                <c:pt idx="0">
                  <c:v>23</c:v>
                </c:pt>
                <c:pt idx="1">
                  <c:v>28</c:v>
                </c:pt>
                <c:pt idx="2">
                  <c:v>32</c:v>
                </c:pt>
                <c:pt idx="3">
                  <c:v>38</c:v>
                </c:pt>
                <c:pt idx="4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CC-462A-A2D3-EBFACF871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82631135"/>
        <c:axId val="750417631"/>
      </c:barChart>
      <c:catAx>
        <c:axId val="1282631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50417631"/>
        <c:crosses val="autoZero"/>
        <c:auto val="1"/>
        <c:lblAlgn val="ctr"/>
        <c:lblOffset val="100"/>
        <c:noMultiLvlLbl val="0"/>
      </c:catAx>
      <c:valAx>
        <c:axId val="75041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pERSONAS ENTREVISTADAS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82631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COLORES</a:t>
            </a:r>
            <a:r>
              <a:rPr lang="es-MX" baseline="0"/>
              <a:t> DE CELULAR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EE8-4776-A2FE-4E103E004B5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AEE8-4776-A2FE-4E103E004B5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EE8-4776-A2FE-4E103E004B5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AEE8-4776-A2FE-4E103E004B5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EE8-4776-A2FE-4E103E004B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Cualitativas!$E$2:$E$6</c:f>
              <c:strCache>
                <c:ptCount val="5"/>
                <c:pt idx="0">
                  <c:v>AZUL</c:v>
                </c:pt>
                <c:pt idx="1">
                  <c:v>ROJO</c:v>
                </c:pt>
                <c:pt idx="2">
                  <c:v>GRIS</c:v>
                </c:pt>
                <c:pt idx="3">
                  <c:v>NEGRO</c:v>
                </c:pt>
                <c:pt idx="4">
                  <c:v>BLANCO</c:v>
                </c:pt>
              </c:strCache>
            </c:strRef>
          </c:cat>
          <c:val>
            <c:numRef>
              <c:f>Cualitativas!$F$2:$F$6</c:f>
              <c:numCache>
                <c:formatCode>General</c:formatCode>
                <c:ptCount val="5"/>
                <c:pt idx="0">
                  <c:v>23</c:v>
                </c:pt>
                <c:pt idx="1">
                  <c:v>28</c:v>
                </c:pt>
                <c:pt idx="2">
                  <c:v>32</c:v>
                </c:pt>
                <c:pt idx="3">
                  <c:v>38</c:v>
                </c:pt>
                <c:pt idx="4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E8-4776-A2FE-4E103E004B53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AEE8-4776-A2FE-4E103E004B5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EE8-4776-A2FE-4E103E004B5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A-AEE8-4776-A2FE-4E103E004B5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EE8-4776-A2FE-4E103E004B5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C-AEE8-4776-A2FE-4E103E004B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Cualitativas!$E$2:$E$6</c:f>
              <c:strCache>
                <c:ptCount val="5"/>
                <c:pt idx="0">
                  <c:v>AZUL</c:v>
                </c:pt>
                <c:pt idx="1">
                  <c:v>ROJO</c:v>
                </c:pt>
                <c:pt idx="2">
                  <c:v>GRIS</c:v>
                </c:pt>
                <c:pt idx="3">
                  <c:v>NEGRO</c:v>
                </c:pt>
                <c:pt idx="4">
                  <c:v>BLANCO</c:v>
                </c:pt>
              </c:strCache>
            </c:strRef>
          </c:cat>
          <c:val>
            <c:numRef>
              <c:f>Cualitativas!$G$2:$G$6</c:f>
              <c:numCache>
                <c:formatCode>General</c:formatCode>
                <c:ptCount val="5"/>
                <c:pt idx="0">
                  <c:v>0.15333333333333332</c:v>
                </c:pt>
                <c:pt idx="1">
                  <c:v>0.18666666666666668</c:v>
                </c:pt>
                <c:pt idx="2">
                  <c:v>0.21333333333333335</c:v>
                </c:pt>
                <c:pt idx="3">
                  <c:v>0.25333333333333335</c:v>
                </c:pt>
                <c:pt idx="4">
                  <c:v>0.19333333333333333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E8-4776-A2FE-4E103E004B53}"/>
            </c:ext>
          </c:extLst>
        </c:ser>
        <c:ser>
          <c:idx val="2"/>
          <c:order val="2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EE8-4776-A2FE-4E103E004B5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E-AEE8-4776-A2FE-4E103E004B5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EE8-4776-A2FE-4E103E004B5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0-AEE8-4776-A2FE-4E103E004B5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EE8-4776-A2FE-4E103E004B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Cualitativas!$E$2:$E$6</c:f>
              <c:strCache>
                <c:ptCount val="5"/>
                <c:pt idx="0">
                  <c:v>AZUL</c:v>
                </c:pt>
                <c:pt idx="1">
                  <c:v>ROJO</c:v>
                </c:pt>
                <c:pt idx="2">
                  <c:v>GRIS</c:v>
                </c:pt>
                <c:pt idx="3">
                  <c:v>NEGRO</c:v>
                </c:pt>
                <c:pt idx="4">
                  <c:v>BLANCO</c:v>
                </c:pt>
              </c:strCache>
            </c:strRef>
          </c:cat>
          <c:val>
            <c:numRef>
              <c:f>Cualitativas!$H$2:$H$6</c:f>
              <c:numCache>
                <c:formatCode>0%</c:formatCode>
                <c:ptCount val="5"/>
                <c:pt idx="0">
                  <c:v>0.15333333333333299</c:v>
                </c:pt>
                <c:pt idx="1">
                  <c:v>0.18666666666666668</c:v>
                </c:pt>
                <c:pt idx="2">
                  <c:v>0.21333333333333335</c:v>
                </c:pt>
                <c:pt idx="3">
                  <c:v>0.25333333333333335</c:v>
                </c:pt>
                <c:pt idx="4">
                  <c:v>0.19333333333333333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E8-4776-A2FE-4E103E004B53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MARCAS DE CELULAR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5.5555555555555558E-3"/>
                  <c:y val="-0.3357664233576642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726-4017-9FD0-B17A2DD8F1D6}"/>
                </c:ext>
              </c:extLst>
            </c:dLbl>
            <c:dLbl>
              <c:idx val="1"/>
              <c:layout>
                <c:manualLayout>
                  <c:x val="-8.3333333333333332E-3"/>
                  <c:y val="-0.2773722627737226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726-4017-9FD0-B17A2DD8F1D6}"/>
                </c:ext>
              </c:extLst>
            </c:dLbl>
            <c:dLbl>
              <c:idx val="2"/>
              <c:layout>
                <c:manualLayout>
                  <c:x val="-5.5555555555555558E-3"/>
                  <c:y val="-0.3065693430656934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726-4017-9FD0-B17A2DD8F1D6}"/>
                </c:ext>
              </c:extLst>
            </c:dLbl>
            <c:dLbl>
              <c:idx val="3"/>
              <c:layout>
                <c:manualLayout>
                  <c:x val="0"/>
                  <c:y val="-0.2627737226277372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726-4017-9FD0-B17A2DD8F1D6}"/>
                </c:ext>
              </c:extLst>
            </c:dLbl>
            <c:dLbl>
              <c:idx val="4"/>
              <c:layout>
                <c:manualLayout>
                  <c:x val="0"/>
                  <c:y val="-0.3065693430656934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726-4017-9FD0-B17A2DD8F1D6}"/>
                </c:ext>
              </c:extLst>
            </c:dLbl>
            <c:dLbl>
              <c:idx val="5"/>
              <c:layout>
                <c:manualLayout>
                  <c:x val="-2.7777777777779813E-3"/>
                  <c:y val="-0.3065693430656934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726-4017-9FD0-B17A2DD8F1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Cualitativas!$K$2:$K$7</c:f>
              <c:strCache>
                <c:ptCount val="6"/>
                <c:pt idx="0">
                  <c:v>Xiaomi</c:v>
                </c:pt>
                <c:pt idx="1">
                  <c:v>Samsung</c:v>
                </c:pt>
                <c:pt idx="2">
                  <c:v>Huawei</c:v>
                </c:pt>
                <c:pt idx="3">
                  <c:v>Oppo</c:v>
                </c:pt>
                <c:pt idx="4">
                  <c:v>Iphone</c:v>
                </c:pt>
                <c:pt idx="5">
                  <c:v>Motorola</c:v>
                </c:pt>
              </c:strCache>
            </c:strRef>
          </c:cat>
          <c:val>
            <c:numRef>
              <c:f>Cualitativas!$L$2:$L$7</c:f>
              <c:numCache>
                <c:formatCode>General</c:formatCode>
                <c:ptCount val="6"/>
                <c:pt idx="0">
                  <c:v>29</c:v>
                </c:pt>
                <c:pt idx="1">
                  <c:v>23</c:v>
                </c:pt>
                <c:pt idx="2">
                  <c:v>26</c:v>
                </c:pt>
                <c:pt idx="3">
                  <c:v>21</c:v>
                </c:pt>
                <c:pt idx="4">
                  <c:v>26</c:v>
                </c:pt>
                <c:pt idx="5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32-4F67-A26D-FD8555CE27F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72404352"/>
        <c:axId val="1754222240"/>
      </c:barChart>
      <c:catAx>
        <c:axId val="157240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54222240"/>
        <c:crosses val="autoZero"/>
        <c:auto val="1"/>
        <c:lblAlgn val="ctr"/>
        <c:lblOffset val="100"/>
        <c:noMultiLvlLbl val="0"/>
      </c:catAx>
      <c:valAx>
        <c:axId val="175422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72404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MARCAS DE CELULAR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65-42FE-924A-35917C9FE2B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65-42FE-924A-35917C9FE2B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65-42FE-924A-35917C9FE2B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65-42FE-924A-35917C9FE2B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65-42FE-924A-35917C9FE2B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65-42FE-924A-35917C9FE2BF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Cualitativas!$K$2:$K$7</c:f>
              <c:strCache>
                <c:ptCount val="6"/>
                <c:pt idx="0">
                  <c:v>Xiaomi</c:v>
                </c:pt>
                <c:pt idx="1">
                  <c:v>Samsung</c:v>
                </c:pt>
                <c:pt idx="2">
                  <c:v>Huawei</c:v>
                </c:pt>
                <c:pt idx="3">
                  <c:v>Oppo</c:v>
                </c:pt>
                <c:pt idx="4">
                  <c:v>Iphone</c:v>
                </c:pt>
                <c:pt idx="5">
                  <c:v>Motorola</c:v>
                </c:pt>
              </c:strCache>
            </c:strRef>
          </c:cat>
          <c:val>
            <c:numRef>
              <c:f>Cualitativas!$L$2:$L$7</c:f>
              <c:numCache>
                <c:formatCode>General</c:formatCode>
                <c:ptCount val="6"/>
                <c:pt idx="0">
                  <c:v>29</c:v>
                </c:pt>
                <c:pt idx="1">
                  <c:v>23</c:v>
                </c:pt>
                <c:pt idx="2">
                  <c:v>26</c:v>
                </c:pt>
                <c:pt idx="3">
                  <c:v>21</c:v>
                </c:pt>
                <c:pt idx="4">
                  <c:v>26</c:v>
                </c:pt>
                <c:pt idx="5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B3-47BE-820F-4217E7412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u="sng"/>
              <a:t>MODELOS</a:t>
            </a:r>
            <a:r>
              <a:rPr lang="en-US" u="sng" baseline="0"/>
              <a:t> DE CELULARES MAS USADOS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8.6725178460972635E-2"/>
          <c:y val="0.16375275938189846"/>
          <c:w val="0.88213540186457584"/>
          <c:h val="0.41508404164711199"/>
        </c:manualLayout>
      </c:layout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Cualitativas!$Q$2:$Q$13</c:f>
              <c:strCache>
                <c:ptCount val="12"/>
                <c:pt idx="0">
                  <c:v>Xiaomi Mi 11</c:v>
                </c:pt>
                <c:pt idx="1">
                  <c:v>Xiaomi Redmi Note 1</c:v>
                </c:pt>
                <c:pt idx="2">
                  <c:v>Samsung Galaxy S21</c:v>
                </c:pt>
                <c:pt idx="3">
                  <c:v>Samsung Galaxy Note 20</c:v>
                </c:pt>
                <c:pt idx="4">
                  <c:v>Huawei P40 Pro</c:v>
                </c:pt>
                <c:pt idx="5">
                  <c:v>Huawei Mate 40 Pro</c:v>
                </c:pt>
                <c:pt idx="6">
                  <c:v>OPPO Find X3 Pro</c:v>
                </c:pt>
                <c:pt idx="7">
                  <c:v>OPPO Reno6 Pro</c:v>
                </c:pt>
                <c:pt idx="8">
                  <c:v>iPhone 13 Pro</c:v>
                </c:pt>
                <c:pt idx="9">
                  <c:v>iPhone 12 Mini</c:v>
                </c:pt>
                <c:pt idx="10">
                  <c:v>Motorola Moto G Power (2021)</c:v>
                </c:pt>
                <c:pt idx="11">
                  <c:v>Motorola Moto G Stylus (2021)</c:v>
                </c:pt>
              </c:strCache>
            </c:strRef>
          </c:cat>
          <c:val>
            <c:numRef>
              <c:f>Cualitativas!$R$2:$R$13</c:f>
              <c:numCache>
                <c:formatCode>General</c:formatCode>
                <c:ptCount val="12"/>
                <c:pt idx="0">
                  <c:v>14</c:v>
                </c:pt>
                <c:pt idx="1">
                  <c:v>15</c:v>
                </c:pt>
                <c:pt idx="2">
                  <c:v>13</c:v>
                </c:pt>
                <c:pt idx="3">
                  <c:v>10</c:v>
                </c:pt>
                <c:pt idx="4">
                  <c:v>18</c:v>
                </c:pt>
                <c:pt idx="5">
                  <c:v>8</c:v>
                </c:pt>
                <c:pt idx="6">
                  <c:v>7</c:v>
                </c:pt>
                <c:pt idx="7">
                  <c:v>14</c:v>
                </c:pt>
                <c:pt idx="8">
                  <c:v>11</c:v>
                </c:pt>
                <c:pt idx="9">
                  <c:v>15</c:v>
                </c:pt>
                <c:pt idx="10">
                  <c:v>11</c:v>
                </c:pt>
                <c:pt idx="1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12-448F-8BD5-B9CCE36E8C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56259335"/>
        <c:axId val="156261383"/>
      </c:barChart>
      <c:catAx>
        <c:axId val="15625933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6261383"/>
        <c:crosses val="autoZero"/>
        <c:auto val="1"/>
        <c:lblAlgn val="ctr"/>
        <c:lblOffset val="100"/>
        <c:noMultiLvlLbl val="0"/>
      </c:catAx>
      <c:valAx>
        <c:axId val="15626138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6259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MODELOS</a:t>
            </a:r>
            <a:r>
              <a:rPr lang="es-MX" baseline="0"/>
              <a:t> DE CELULARES MAS USADOS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9050279329608941"/>
          <c:y val="0.26580912900429343"/>
          <c:w val="0.70949720670391059"/>
          <c:h val="0.54735793167137858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C16-488C-B17C-B524D49F82F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C16-488C-B17C-B524D49F82F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C16-488C-B17C-B524D49F82F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C16-488C-B17C-B524D49F82F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C16-488C-B17C-B524D49F82F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C16-488C-B17C-B524D49F82F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C16-488C-B17C-B524D49F82F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C16-488C-B17C-B524D49F82F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C16-488C-B17C-B524D49F82F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C16-488C-B17C-B524D49F82F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C16-488C-B17C-B524D49F82F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C16-488C-B17C-B524D49F82F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Cualitativas!$Q$2:$Q$13</c:f>
              <c:strCache>
                <c:ptCount val="12"/>
                <c:pt idx="0">
                  <c:v>Xiaomi Mi 11</c:v>
                </c:pt>
                <c:pt idx="1">
                  <c:v>Xiaomi Redmi Note 1</c:v>
                </c:pt>
                <c:pt idx="2">
                  <c:v>Samsung Galaxy S21</c:v>
                </c:pt>
                <c:pt idx="3">
                  <c:v>Samsung Galaxy Note 20</c:v>
                </c:pt>
                <c:pt idx="4">
                  <c:v>Huawei P40 Pro</c:v>
                </c:pt>
                <c:pt idx="5">
                  <c:v>Huawei Mate 40 Pro</c:v>
                </c:pt>
                <c:pt idx="6">
                  <c:v>OPPO Find X3 Pro</c:v>
                </c:pt>
                <c:pt idx="7">
                  <c:v>OPPO Reno6 Pro</c:v>
                </c:pt>
                <c:pt idx="8">
                  <c:v>iPhone 13 Pro</c:v>
                </c:pt>
                <c:pt idx="9">
                  <c:v>iPhone 12 Mini</c:v>
                </c:pt>
                <c:pt idx="10">
                  <c:v>Motorola Moto G Power (2021)</c:v>
                </c:pt>
                <c:pt idx="11">
                  <c:v>Motorola Moto G Stylus (2021)</c:v>
                </c:pt>
              </c:strCache>
            </c:strRef>
          </c:cat>
          <c:val>
            <c:numRef>
              <c:f>Cualitativas!$R$2:$R$13</c:f>
              <c:numCache>
                <c:formatCode>General</c:formatCode>
                <c:ptCount val="12"/>
                <c:pt idx="0">
                  <c:v>14</c:v>
                </c:pt>
                <c:pt idx="1">
                  <c:v>15</c:v>
                </c:pt>
                <c:pt idx="2">
                  <c:v>13</c:v>
                </c:pt>
                <c:pt idx="3">
                  <c:v>10</c:v>
                </c:pt>
                <c:pt idx="4">
                  <c:v>18</c:v>
                </c:pt>
                <c:pt idx="5">
                  <c:v>8</c:v>
                </c:pt>
                <c:pt idx="6">
                  <c:v>7</c:v>
                </c:pt>
                <c:pt idx="7">
                  <c:v>14</c:v>
                </c:pt>
                <c:pt idx="8">
                  <c:v>11</c:v>
                </c:pt>
                <c:pt idx="9">
                  <c:v>15</c:v>
                </c:pt>
                <c:pt idx="10">
                  <c:v>11</c:v>
                </c:pt>
                <c:pt idx="1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01-419F-BAA7-8630FA50FA8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1925003787934322E-2"/>
          <c:y val="0.12301891500466897"/>
          <c:w val="0.37997350889797993"/>
          <c:h val="0.844311350289011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428625</xdr:colOff>
      <xdr:row>1</xdr:row>
      <xdr:rowOff>9525</xdr:rowOff>
    </xdr:from>
    <xdr:to>
      <xdr:col>24</xdr:col>
      <xdr:colOff>495300</xdr:colOff>
      <xdr:row>15</xdr:row>
      <xdr:rowOff>152400</xdr:rowOff>
    </xdr:to>
    <xdr:graphicFrame macro="">
      <xdr:nvGraphicFramePr>
        <xdr:cNvPr id="15" name="Gráfico 2">
          <a:extLst>
            <a:ext uri="{FF2B5EF4-FFF2-40B4-BE49-F238E27FC236}">
              <a16:creationId xmlns:a16="http://schemas.microsoft.com/office/drawing/2014/main" id="{A2E3F71B-C86C-F9A3-15B2-8D6C0D79C9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438150</xdr:colOff>
      <xdr:row>19</xdr:row>
      <xdr:rowOff>161925</xdr:rowOff>
    </xdr:from>
    <xdr:to>
      <xdr:col>24</xdr:col>
      <xdr:colOff>552450</xdr:colOff>
      <xdr:row>36</xdr:row>
      <xdr:rowOff>76200</xdr:rowOff>
    </xdr:to>
    <xdr:graphicFrame macro="">
      <xdr:nvGraphicFramePr>
        <xdr:cNvPr id="6" name="Gráfico 3">
          <a:extLst>
            <a:ext uri="{FF2B5EF4-FFF2-40B4-BE49-F238E27FC236}">
              <a16:creationId xmlns:a16="http://schemas.microsoft.com/office/drawing/2014/main" id="{116CA7D3-E146-5452-ABDB-E2814E0F47E0}"/>
            </a:ext>
            <a:ext uri="{147F2762-F138-4A5C-976F-8EAC2B608ADB}">
              <a16:predDERef xmlns:a16="http://schemas.microsoft.com/office/drawing/2014/main" pred="{A2E3F71B-C86C-F9A3-15B2-8D6C0D79C9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476250</xdr:colOff>
      <xdr:row>37</xdr:row>
      <xdr:rowOff>171450</xdr:rowOff>
    </xdr:from>
    <xdr:to>
      <xdr:col>24</xdr:col>
      <xdr:colOff>419100</xdr:colOff>
      <xdr:row>52</xdr:row>
      <xdr:rowOff>57150</xdr:rowOff>
    </xdr:to>
    <xdr:graphicFrame macro="">
      <xdr:nvGraphicFramePr>
        <xdr:cNvPr id="61" name="Gráfico 4">
          <a:extLst>
            <a:ext uri="{FF2B5EF4-FFF2-40B4-BE49-F238E27FC236}">
              <a16:creationId xmlns:a16="http://schemas.microsoft.com/office/drawing/2014/main" id="{148073FC-DCF0-5C22-82D0-724C8D9EC003}"/>
            </a:ext>
            <a:ext uri="{147F2762-F138-4A5C-976F-8EAC2B608ADB}">
              <a16:predDERef xmlns:a16="http://schemas.microsoft.com/office/drawing/2014/main" pred="{116CA7D3-E146-5452-ABDB-E2814E0F47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9525</xdr:colOff>
      <xdr:row>68</xdr:row>
      <xdr:rowOff>85725</xdr:rowOff>
    </xdr:from>
    <xdr:to>
      <xdr:col>13</xdr:col>
      <xdr:colOff>95250</xdr:colOff>
      <xdr:row>68</xdr:row>
      <xdr:rowOff>133350</xdr:rowOff>
    </xdr:to>
    <xdr:graphicFrame macro="">
      <xdr:nvGraphicFramePr>
        <xdr:cNvPr id="8" name="Gráfico 13">
          <a:extLst>
            <a:ext uri="{FF2B5EF4-FFF2-40B4-BE49-F238E27FC236}">
              <a16:creationId xmlns:a16="http://schemas.microsoft.com/office/drawing/2014/main" id="{07950BEC-D4B5-5A8D-FD52-F34C92161DB4}"/>
            </a:ext>
            <a:ext uri="{147F2762-F138-4A5C-976F-8EAC2B608ADB}">
              <a16:predDERef xmlns:a16="http://schemas.microsoft.com/office/drawing/2014/main" pred="{148073FC-DCF0-5C22-82D0-724C8D9EC0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16</xdr:row>
      <xdr:rowOff>152400</xdr:rowOff>
    </xdr:from>
    <xdr:to>
      <xdr:col>9</xdr:col>
      <xdr:colOff>590550</xdr:colOff>
      <xdr:row>31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D00C8D0-96B2-2C98-9F63-9C4A5D041A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600075</xdr:colOff>
      <xdr:row>16</xdr:row>
      <xdr:rowOff>161925</xdr:rowOff>
    </xdr:from>
    <xdr:to>
      <xdr:col>19</xdr:col>
      <xdr:colOff>9525</xdr:colOff>
      <xdr:row>31</xdr:row>
      <xdr:rowOff>47625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78AF816-C3B2-6F73-DA20-9531E4584D5A}"/>
            </a:ext>
            <a:ext uri="{147F2762-F138-4A5C-976F-8EAC2B608ADB}">
              <a16:predDERef xmlns:a16="http://schemas.microsoft.com/office/drawing/2014/main" pred="{AD00C8D0-96B2-2C98-9F63-9C4A5D041A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600075</xdr:colOff>
      <xdr:row>16</xdr:row>
      <xdr:rowOff>180975</xdr:rowOff>
    </xdr:from>
    <xdr:to>
      <xdr:col>27</xdr:col>
      <xdr:colOff>571500</xdr:colOff>
      <xdr:row>31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88C40A7-2447-C609-4D03-38FB988098A2}"/>
            </a:ext>
            <a:ext uri="{147F2762-F138-4A5C-976F-8EAC2B608ADB}">
              <a16:predDERef xmlns:a16="http://schemas.microsoft.com/office/drawing/2014/main" pred="{D78AF816-C3B2-6F73-DA20-9531E4584D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590550</xdr:colOff>
      <xdr:row>16</xdr:row>
      <xdr:rowOff>171450</xdr:rowOff>
    </xdr:from>
    <xdr:to>
      <xdr:col>36</xdr:col>
      <xdr:colOff>600075</xdr:colOff>
      <xdr:row>31</xdr:row>
      <xdr:rowOff>57150</xdr:rowOff>
    </xdr:to>
    <xdr:graphicFrame macro="">
      <xdr:nvGraphicFramePr>
        <xdr:cNvPr id="36" name="Gráfico 4">
          <a:extLst>
            <a:ext uri="{FF2B5EF4-FFF2-40B4-BE49-F238E27FC236}">
              <a16:creationId xmlns:a16="http://schemas.microsoft.com/office/drawing/2014/main" id="{91B8D414-F361-6102-B6AF-CC3CCC626C30}"/>
            </a:ext>
            <a:ext uri="{147F2762-F138-4A5C-976F-8EAC2B608ADB}">
              <a16:predDERef xmlns:a16="http://schemas.microsoft.com/office/drawing/2014/main" pred="{988C40A7-2447-C609-4D03-38FB988098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259080</xdr:colOff>
      <xdr:row>7</xdr:row>
      <xdr:rowOff>179070</xdr:rowOff>
    </xdr:from>
    <xdr:to>
      <xdr:col>9</xdr:col>
      <xdr:colOff>76200</xdr:colOff>
      <xdr:row>22</xdr:row>
      <xdr:rowOff>64770</xdr:rowOff>
    </xdr:to>
    <xdr:graphicFrame macro="">
      <xdr:nvGraphicFramePr>
        <xdr:cNvPr id="105" name="Gráfico 1">
          <a:extLst>
            <a:ext uri="{FF2B5EF4-FFF2-40B4-BE49-F238E27FC236}">
              <a16:creationId xmlns:a16="http://schemas.microsoft.com/office/drawing/2014/main" id="{489F608B-906A-72FE-2782-397D95160B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352425</xdr:colOff>
      <xdr:row>23</xdr:row>
      <xdr:rowOff>57149</xdr:rowOff>
    </xdr:from>
    <xdr:to>
      <xdr:col>9</xdr:col>
      <xdr:colOff>0</xdr:colOff>
      <xdr:row>35</xdr:row>
      <xdr:rowOff>166686</xdr:rowOff>
    </xdr:to>
    <xdr:graphicFrame macro="">
      <xdr:nvGraphicFramePr>
        <xdr:cNvPr id="104" name="Gráfico 2">
          <a:extLst>
            <a:ext uri="{FF2B5EF4-FFF2-40B4-BE49-F238E27FC236}">
              <a16:creationId xmlns:a16="http://schemas.microsoft.com/office/drawing/2014/main" id="{FD8337DC-A0FD-8C8C-B090-9CB7D242FB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433387</xdr:colOff>
      <xdr:row>8</xdr:row>
      <xdr:rowOff>90487</xdr:rowOff>
    </xdr:from>
    <xdr:to>
      <xdr:col>15</xdr:col>
      <xdr:colOff>309562</xdr:colOff>
      <xdr:row>22</xdr:row>
      <xdr:rowOff>33337</xdr:rowOff>
    </xdr:to>
    <xdr:graphicFrame macro="">
      <xdr:nvGraphicFramePr>
        <xdr:cNvPr id="79" name="Gráfico 4">
          <a:extLst>
            <a:ext uri="{FF2B5EF4-FFF2-40B4-BE49-F238E27FC236}">
              <a16:creationId xmlns:a16="http://schemas.microsoft.com/office/drawing/2014/main" id="{F89D3159-83D4-3007-0037-0B16A26070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366712</xdr:colOff>
      <xdr:row>23</xdr:row>
      <xdr:rowOff>52387</xdr:rowOff>
    </xdr:from>
    <xdr:to>
      <xdr:col>15</xdr:col>
      <xdr:colOff>242887</xdr:colOff>
      <xdr:row>36</xdr:row>
      <xdr:rowOff>195262</xdr:rowOff>
    </xdr:to>
    <xdr:graphicFrame macro="">
      <xdr:nvGraphicFramePr>
        <xdr:cNvPr id="103" name="Gráfico 5">
          <a:extLst>
            <a:ext uri="{FF2B5EF4-FFF2-40B4-BE49-F238E27FC236}">
              <a16:creationId xmlns:a16="http://schemas.microsoft.com/office/drawing/2014/main" id="{87471826-AAD9-7B20-4035-A05FD4B696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152400</xdr:colOff>
      <xdr:row>14</xdr:row>
      <xdr:rowOff>114299</xdr:rowOff>
    </xdr:from>
    <xdr:to>
      <xdr:col>20</xdr:col>
      <xdr:colOff>361950</xdr:colOff>
      <xdr:row>32</xdr:row>
      <xdr:rowOff>19049</xdr:rowOff>
    </xdr:to>
    <xdr:graphicFrame macro="">
      <xdr:nvGraphicFramePr>
        <xdr:cNvPr id="9" name="Chart 159">
          <a:extLst>
            <a:ext uri="{FF2B5EF4-FFF2-40B4-BE49-F238E27FC236}">
              <a16:creationId xmlns:a16="http://schemas.microsoft.com/office/drawing/2014/main" id="{53E57D8E-7FEA-B036-0615-A8C8FC0321C6}"/>
            </a:ext>
            <a:ext uri="{147F2762-F138-4A5C-976F-8EAC2B608ADB}">
              <a16:predDERef xmlns:a16="http://schemas.microsoft.com/office/drawing/2014/main" pred="{87471826-AAD9-7B20-4035-A05FD4B696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95249</xdr:colOff>
      <xdr:row>32</xdr:row>
      <xdr:rowOff>142875</xdr:rowOff>
    </xdr:from>
    <xdr:to>
      <xdr:col>21</xdr:col>
      <xdr:colOff>76199</xdr:colOff>
      <xdr:row>49</xdr:row>
      <xdr:rowOff>14287</xdr:rowOff>
    </xdr:to>
    <xdr:graphicFrame macro="">
      <xdr:nvGraphicFramePr>
        <xdr:cNvPr id="11" name="Gráfico 9">
          <a:extLst>
            <a:ext uri="{FF2B5EF4-FFF2-40B4-BE49-F238E27FC236}">
              <a16:creationId xmlns:a16="http://schemas.microsoft.com/office/drawing/2014/main" id="{EE63C611-BC96-06D2-A681-0E8B857693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41E96-B3E2-4320-A77F-693371C6BC10}">
  <dimension ref="A1:Q166"/>
  <sheetViews>
    <sheetView topLeftCell="D119" workbookViewId="0">
      <selection activeCell="J1" sqref="J1:J151"/>
    </sheetView>
  </sheetViews>
  <sheetFormatPr baseColWidth="10" defaultColWidth="11.5703125" defaultRowHeight="15"/>
  <cols>
    <col min="1" max="1" width="24.140625" style="3" bestFit="1" customWidth="1"/>
    <col min="2" max="2" width="22.7109375" style="3" bestFit="1" customWidth="1"/>
    <col min="3" max="3" width="23.28515625" style="3" bestFit="1" customWidth="1"/>
    <col min="4" max="4" width="38.7109375" style="3" bestFit="1" customWidth="1"/>
    <col min="5" max="5" width="35.28515625" style="3" bestFit="1" customWidth="1"/>
    <col min="6" max="6" width="67.5703125" style="3" customWidth="1"/>
    <col min="7" max="7" width="60.7109375" style="3" bestFit="1" customWidth="1"/>
    <col min="8" max="8" width="30.7109375" style="3" bestFit="1" customWidth="1"/>
    <col min="9" max="9" width="46.140625" style="3" bestFit="1" customWidth="1"/>
    <col min="10" max="10" width="48.5703125" style="3" customWidth="1"/>
    <col min="11" max="11" width="12.140625" style="3" customWidth="1"/>
    <col min="12" max="16384" width="11.5703125" style="3"/>
  </cols>
  <sheetData>
    <row r="1" spans="1:1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113" t="s">
        <v>8</v>
      </c>
      <c r="J1" s="111" t="s">
        <v>9</v>
      </c>
      <c r="L1" s="1"/>
      <c r="M1" s="1"/>
      <c r="N1" s="1"/>
      <c r="O1" s="1"/>
      <c r="P1" s="1"/>
      <c r="Q1" s="1"/>
    </row>
    <row r="2" spans="1:17">
      <c r="A2" s="1" t="s">
        <v>10</v>
      </c>
      <c r="B2" s="1" t="s">
        <v>11</v>
      </c>
      <c r="C2" s="1" t="s">
        <v>12</v>
      </c>
      <c r="D2" s="1">
        <v>3</v>
      </c>
      <c r="E2" s="1">
        <v>9</v>
      </c>
      <c r="F2" s="1">
        <v>3500</v>
      </c>
      <c r="G2" s="1">
        <v>1.5</v>
      </c>
      <c r="H2" s="1">
        <v>6</v>
      </c>
      <c r="I2" s="106">
        <v>4.2</v>
      </c>
      <c r="J2" s="112">
        <v>4</v>
      </c>
      <c r="L2" s="1"/>
      <c r="M2" s="1"/>
      <c r="N2" s="1"/>
      <c r="O2" s="1"/>
      <c r="P2" s="1"/>
      <c r="Q2" s="1"/>
    </row>
    <row r="3" spans="1:17" ht="15.75" thickBot="1">
      <c r="A3" s="1" t="s">
        <v>10</v>
      </c>
      <c r="B3" s="1" t="s">
        <v>13</v>
      </c>
      <c r="C3" s="1" t="s">
        <v>14</v>
      </c>
      <c r="D3" s="1">
        <v>1</v>
      </c>
      <c r="E3" s="1">
        <v>27</v>
      </c>
      <c r="F3" s="1">
        <v>3500</v>
      </c>
      <c r="G3" s="1">
        <v>3</v>
      </c>
      <c r="H3" s="1">
        <v>4.5</v>
      </c>
      <c r="I3" s="106">
        <v>4.2</v>
      </c>
      <c r="J3" s="108">
        <v>1</v>
      </c>
      <c r="L3" s="1"/>
      <c r="M3" s="1"/>
      <c r="N3" s="1"/>
      <c r="O3" s="1"/>
      <c r="P3" s="1"/>
      <c r="Q3" s="1"/>
    </row>
    <row r="4" spans="1:17" ht="15.75" thickBot="1">
      <c r="A4" s="1" t="s">
        <v>15</v>
      </c>
      <c r="B4" s="1" t="s">
        <v>16</v>
      </c>
      <c r="C4" s="1" t="s">
        <v>17</v>
      </c>
      <c r="D4" s="1">
        <v>1</v>
      </c>
      <c r="E4" s="1">
        <v>32</v>
      </c>
      <c r="F4" s="1">
        <v>4000</v>
      </c>
      <c r="G4" s="1">
        <v>4</v>
      </c>
      <c r="H4" s="1">
        <v>5.4</v>
      </c>
      <c r="I4" s="106">
        <v>5</v>
      </c>
      <c r="J4" s="108">
        <v>1</v>
      </c>
      <c r="L4" s="1"/>
      <c r="M4" s="1"/>
      <c r="N4" s="1"/>
      <c r="O4" s="1"/>
      <c r="P4" s="1"/>
      <c r="Q4" s="1"/>
    </row>
    <row r="5" spans="1:17" ht="15.75" thickBot="1">
      <c r="A5" s="1" t="s">
        <v>18</v>
      </c>
      <c r="B5" s="1" t="s">
        <v>13</v>
      </c>
      <c r="C5" s="1" t="s">
        <v>19</v>
      </c>
      <c r="D5" s="1">
        <v>2</v>
      </c>
      <c r="E5" s="1">
        <v>35</v>
      </c>
      <c r="F5" s="1">
        <v>4000</v>
      </c>
      <c r="G5" s="1">
        <v>1.5</v>
      </c>
      <c r="H5" s="1">
        <v>6.9</v>
      </c>
      <c r="I5" s="106">
        <v>3.8</v>
      </c>
      <c r="J5" s="108">
        <v>3</v>
      </c>
      <c r="L5" s="1"/>
      <c r="M5" s="1"/>
      <c r="N5" s="1"/>
      <c r="O5" s="1"/>
      <c r="P5" s="1"/>
      <c r="Q5" s="1"/>
    </row>
    <row r="6" spans="1:17" ht="15.75" thickBot="1">
      <c r="A6" s="1" t="s">
        <v>20</v>
      </c>
      <c r="B6" s="1" t="s">
        <v>11</v>
      </c>
      <c r="C6" s="1" t="s">
        <v>21</v>
      </c>
      <c r="D6" s="1">
        <v>2</v>
      </c>
      <c r="E6" s="1">
        <v>28</v>
      </c>
      <c r="F6" s="1">
        <v>3500</v>
      </c>
      <c r="G6" s="1">
        <v>3.5</v>
      </c>
      <c r="H6" s="1">
        <v>5.8</v>
      </c>
      <c r="I6" s="106">
        <v>5</v>
      </c>
      <c r="J6" s="108">
        <v>1</v>
      </c>
      <c r="L6" s="1"/>
      <c r="M6" s="1"/>
      <c r="N6" s="1" t="s">
        <v>22</v>
      </c>
      <c r="O6" s="1"/>
      <c r="P6" s="1"/>
      <c r="Q6" s="1"/>
    </row>
    <row r="7" spans="1:17" ht="15.75" thickBot="1">
      <c r="A7" s="1" t="s">
        <v>18</v>
      </c>
      <c r="B7" s="1" t="s">
        <v>23</v>
      </c>
      <c r="C7" s="1" t="s">
        <v>24</v>
      </c>
      <c r="D7" s="1">
        <v>4</v>
      </c>
      <c r="E7" s="1">
        <v>21</v>
      </c>
      <c r="F7" s="1">
        <v>3500</v>
      </c>
      <c r="G7" s="1">
        <v>3.5</v>
      </c>
      <c r="H7" s="1">
        <v>6.9</v>
      </c>
      <c r="I7" s="106">
        <v>3.8</v>
      </c>
      <c r="J7" s="107">
        <v>1</v>
      </c>
      <c r="L7" s="1"/>
      <c r="M7" s="1"/>
      <c r="N7" s="1"/>
      <c r="O7" s="1"/>
      <c r="P7" s="1"/>
      <c r="Q7" s="1"/>
    </row>
    <row r="8" spans="1:17" ht="15.75" thickBot="1">
      <c r="A8" s="1" t="s">
        <v>18</v>
      </c>
      <c r="B8" s="1" t="s">
        <v>13</v>
      </c>
      <c r="C8" s="1" t="s">
        <v>12</v>
      </c>
      <c r="D8" s="1">
        <v>3</v>
      </c>
      <c r="E8" s="1">
        <v>16</v>
      </c>
      <c r="F8" s="1">
        <v>4500</v>
      </c>
      <c r="G8" s="1">
        <v>5</v>
      </c>
      <c r="H8" s="1">
        <v>6</v>
      </c>
      <c r="I8" s="106">
        <v>5</v>
      </c>
      <c r="J8" s="108">
        <v>2</v>
      </c>
      <c r="L8" s="1"/>
      <c r="M8" s="1"/>
      <c r="N8" s="1"/>
      <c r="O8" s="1"/>
      <c r="P8" s="1"/>
      <c r="Q8" s="1"/>
    </row>
    <row r="9" spans="1:17" ht="15.75" thickBot="1">
      <c r="A9" s="1" t="s">
        <v>20</v>
      </c>
      <c r="B9" s="1" t="s">
        <v>25</v>
      </c>
      <c r="C9" s="1" t="s">
        <v>14</v>
      </c>
      <c r="D9" s="1">
        <v>1</v>
      </c>
      <c r="E9" s="1">
        <v>16</v>
      </c>
      <c r="F9" s="1">
        <v>3300</v>
      </c>
      <c r="G9" s="1">
        <v>3.5</v>
      </c>
      <c r="H9" s="1">
        <v>6</v>
      </c>
      <c r="I9" s="106">
        <v>5</v>
      </c>
      <c r="J9" s="108">
        <v>2</v>
      </c>
      <c r="L9" s="1"/>
      <c r="M9" s="1"/>
      <c r="N9" s="1"/>
      <c r="O9" s="1"/>
      <c r="P9" s="1"/>
      <c r="Q9" s="1"/>
    </row>
    <row r="10" spans="1:17" ht="15.75" thickBot="1">
      <c r="A10" s="1" t="s">
        <v>18</v>
      </c>
      <c r="B10" s="1" t="s">
        <v>25</v>
      </c>
      <c r="C10" s="1" t="s">
        <v>17</v>
      </c>
      <c r="D10" s="1">
        <v>1</v>
      </c>
      <c r="E10" s="1">
        <v>3</v>
      </c>
      <c r="F10" s="1">
        <v>3500</v>
      </c>
      <c r="G10" s="1">
        <v>4.5</v>
      </c>
      <c r="H10" s="1">
        <v>6</v>
      </c>
      <c r="I10" s="106">
        <v>5</v>
      </c>
      <c r="J10" s="108">
        <v>4</v>
      </c>
      <c r="L10" s="1"/>
      <c r="M10" s="1"/>
      <c r="N10" s="1"/>
      <c r="O10" s="1"/>
      <c r="P10" s="1"/>
      <c r="Q10" s="1"/>
    </row>
    <row r="11" spans="1:17" ht="15.75" thickBot="1">
      <c r="A11" s="1" t="s">
        <v>26</v>
      </c>
      <c r="B11" s="1" t="s">
        <v>11</v>
      </c>
      <c r="C11" s="1" t="s">
        <v>19</v>
      </c>
      <c r="D11" s="1">
        <v>1</v>
      </c>
      <c r="E11" s="1">
        <v>11</v>
      </c>
      <c r="F11" s="1">
        <v>3500</v>
      </c>
      <c r="G11" s="1">
        <v>2.5</v>
      </c>
      <c r="H11" s="1">
        <v>6.3</v>
      </c>
      <c r="I11" s="106">
        <v>4.2</v>
      </c>
      <c r="J11" s="108">
        <v>2</v>
      </c>
      <c r="L11" s="1"/>
      <c r="M11" s="1"/>
      <c r="N11" s="1"/>
      <c r="O11" s="1"/>
      <c r="P11" s="1"/>
      <c r="Q11" s="1"/>
    </row>
    <row r="12" spans="1:17" ht="15.75" thickBot="1">
      <c r="A12" s="1" t="s">
        <v>26</v>
      </c>
      <c r="B12" s="1" t="s">
        <v>27</v>
      </c>
      <c r="C12" s="1" t="s">
        <v>21</v>
      </c>
      <c r="D12" s="1">
        <v>4</v>
      </c>
      <c r="E12" s="1">
        <v>10</v>
      </c>
      <c r="F12" s="1">
        <v>4000</v>
      </c>
      <c r="G12" s="1">
        <v>4</v>
      </c>
      <c r="H12" s="1">
        <v>5.8</v>
      </c>
      <c r="I12" s="106">
        <v>5</v>
      </c>
      <c r="J12" s="108">
        <v>3</v>
      </c>
      <c r="L12" s="1"/>
      <c r="M12" s="1"/>
      <c r="N12" s="1"/>
      <c r="O12" s="1"/>
      <c r="P12" s="1"/>
      <c r="Q12" s="1"/>
    </row>
    <row r="13" spans="1:17" ht="15.75" thickBot="1">
      <c r="A13" s="1" t="s">
        <v>15</v>
      </c>
      <c r="B13" s="1" t="s">
        <v>13</v>
      </c>
      <c r="C13" s="1" t="s">
        <v>24</v>
      </c>
      <c r="D13" s="1">
        <v>2</v>
      </c>
      <c r="E13" s="1">
        <v>31</v>
      </c>
      <c r="F13" s="1">
        <v>4500</v>
      </c>
      <c r="G13" s="1">
        <v>2</v>
      </c>
      <c r="H13" s="1">
        <v>5.8</v>
      </c>
      <c r="I13" s="106">
        <v>4.2</v>
      </c>
      <c r="J13" s="108">
        <v>2</v>
      </c>
      <c r="L13" s="1"/>
      <c r="M13" s="1"/>
      <c r="N13" s="1"/>
      <c r="O13" s="1"/>
      <c r="P13" s="1"/>
      <c r="Q13" s="1"/>
    </row>
    <row r="14" spans="1:17" ht="15.75" thickBot="1">
      <c r="A14" s="1" t="s">
        <v>15</v>
      </c>
      <c r="B14" s="1" t="s">
        <v>27</v>
      </c>
      <c r="C14" s="1" t="s">
        <v>28</v>
      </c>
      <c r="D14" s="1">
        <v>1</v>
      </c>
      <c r="E14" s="1">
        <v>26</v>
      </c>
      <c r="F14" s="1">
        <v>3500</v>
      </c>
      <c r="G14" s="1">
        <v>2</v>
      </c>
      <c r="H14" s="1">
        <v>4.5</v>
      </c>
      <c r="I14" s="106">
        <v>5</v>
      </c>
      <c r="J14" s="108">
        <v>2</v>
      </c>
      <c r="L14" s="1"/>
      <c r="M14" s="1"/>
      <c r="N14" s="1"/>
      <c r="O14" s="1"/>
      <c r="P14" s="1"/>
      <c r="Q14" s="1"/>
    </row>
    <row r="15" spans="1:17" ht="15.75" thickBot="1">
      <c r="A15" s="1" t="s">
        <v>15</v>
      </c>
      <c r="B15" s="1" t="s">
        <v>11</v>
      </c>
      <c r="C15" s="1" t="s">
        <v>29</v>
      </c>
      <c r="D15" s="1">
        <v>2</v>
      </c>
      <c r="E15" s="1">
        <v>7</v>
      </c>
      <c r="F15" s="1">
        <v>3500</v>
      </c>
      <c r="G15" s="1">
        <v>3.5</v>
      </c>
      <c r="H15" s="1">
        <v>5.8</v>
      </c>
      <c r="I15" s="106">
        <v>4.2</v>
      </c>
      <c r="J15" s="108">
        <v>2</v>
      </c>
      <c r="L15" s="1"/>
      <c r="M15" s="1"/>
      <c r="N15" s="1"/>
      <c r="O15" s="1"/>
      <c r="P15" s="1"/>
      <c r="Q15" s="1"/>
    </row>
    <row r="16" spans="1:17" ht="15.75" thickBot="1">
      <c r="A16" s="1" t="s">
        <v>26</v>
      </c>
      <c r="B16" s="1" t="s">
        <v>23</v>
      </c>
      <c r="C16" s="1" t="s">
        <v>30</v>
      </c>
      <c r="D16" s="1">
        <v>1</v>
      </c>
      <c r="E16" s="1">
        <v>6</v>
      </c>
      <c r="F16" s="1">
        <v>5000</v>
      </c>
      <c r="G16" s="1">
        <v>5</v>
      </c>
      <c r="H16" s="1">
        <v>5.8</v>
      </c>
      <c r="I16" s="106">
        <v>5</v>
      </c>
      <c r="J16" s="108">
        <v>1</v>
      </c>
      <c r="L16" s="1"/>
      <c r="M16" s="1"/>
      <c r="N16" s="1"/>
      <c r="O16" s="1"/>
      <c r="P16" s="1"/>
      <c r="Q16" s="1"/>
    </row>
    <row r="17" spans="1:17" ht="15.75" thickBot="1">
      <c r="A17" s="1" t="s">
        <v>26</v>
      </c>
      <c r="B17" s="1" t="s">
        <v>25</v>
      </c>
      <c r="C17" s="1" t="s">
        <v>31</v>
      </c>
      <c r="D17" s="1">
        <v>5</v>
      </c>
      <c r="E17" s="1">
        <v>21</v>
      </c>
      <c r="F17" s="1">
        <v>4000</v>
      </c>
      <c r="G17" s="1">
        <v>2</v>
      </c>
      <c r="H17" s="1">
        <v>4.7</v>
      </c>
      <c r="I17" s="106">
        <v>4.2</v>
      </c>
      <c r="J17" s="109">
        <v>1</v>
      </c>
      <c r="L17" s="1"/>
      <c r="M17" s="1"/>
      <c r="N17" s="1"/>
      <c r="O17" s="1"/>
      <c r="P17" s="1"/>
      <c r="Q17" s="1"/>
    </row>
    <row r="18" spans="1:17" ht="15.75" thickBot="1">
      <c r="A18" s="1" t="s">
        <v>18</v>
      </c>
      <c r="B18" s="1" t="s">
        <v>11</v>
      </c>
      <c r="C18" s="1" t="s">
        <v>32</v>
      </c>
      <c r="D18" s="1">
        <v>2</v>
      </c>
      <c r="E18" s="1">
        <v>2</v>
      </c>
      <c r="F18" s="1">
        <v>3500</v>
      </c>
      <c r="G18" s="1">
        <v>4</v>
      </c>
      <c r="H18" s="1">
        <v>5.0999999999999996</v>
      </c>
      <c r="I18" s="106">
        <v>5</v>
      </c>
      <c r="J18" s="108">
        <v>3</v>
      </c>
      <c r="L18" s="1"/>
      <c r="M18" s="1"/>
      <c r="N18" s="1"/>
      <c r="O18" s="1"/>
      <c r="P18" s="1"/>
      <c r="Q18" s="1"/>
    </row>
    <row r="19" spans="1:17" ht="15.75" thickBot="1">
      <c r="A19" s="1" t="s">
        <v>18</v>
      </c>
      <c r="B19" s="1" t="s">
        <v>27</v>
      </c>
      <c r="C19" s="1" t="s">
        <v>33</v>
      </c>
      <c r="D19" s="1">
        <v>2</v>
      </c>
      <c r="E19" s="1">
        <v>26</v>
      </c>
      <c r="F19" s="1">
        <v>3500</v>
      </c>
      <c r="G19" s="1">
        <v>2</v>
      </c>
      <c r="H19" s="1">
        <v>6.6</v>
      </c>
      <c r="I19" s="106">
        <v>4.2</v>
      </c>
      <c r="J19" s="108">
        <v>2</v>
      </c>
      <c r="L19" s="1"/>
      <c r="M19" s="1"/>
      <c r="N19" s="1"/>
      <c r="O19" s="1"/>
      <c r="P19" s="1"/>
      <c r="Q19" s="1"/>
    </row>
    <row r="20" spans="1:17" ht="15.75" thickBot="1">
      <c r="A20" s="1" t="s">
        <v>18</v>
      </c>
      <c r="B20" s="1" t="s">
        <v>11</v>
      </c>
      <c r="C20" s="1" t="s">
        <v>34</v>
      </c>
      <c r="D20" s="1">
        <v>2</v>
      </c>
      <c r="E20" s="1">
        <v>12</v>
      </c>
      <c r="F20" s="1">
        <v>3500</v>
      </c>
      <c r="G20" s="1">
        <v>2</v>
      </c>
      <c r="H20" s="1">
        <v>6.3</v>
      </c>
      <c r="I20" s="106">
        <v>4.2</v>
      </c>
      <c r="J20" s="108">
        <v>2</v>
      </c>
      <c r="L20" s="1"/>
      <c r="M20" s="1"/>
      <c r="N20" s="1"/>
      <c r="O20" s="1"/>
      <c r="P20" s="1"/>
      <c r="Q20" s="1"/>
    </row>
    <row r="21" spans="1:17" ht="15.75" thickBot="1">
      <c r="A21" s="1" t="s">
        <v>20</v>
      </c>
      <c r="B21" s="1" t="s">
        <v>16</v>
      </c>
      <c r="C21" s="1" t="s">
        <v>35</v>
      </c>
      <c r="D21" s="1">
        <v>1</v>
      </c>
      <c r="E21" s="1">
        <v>6</v>
      </c>
      <c r="F21" s="1">
        <v>4500</v>
      </c>
      <c r="G21" s="1">
        <v>3</v>
      </c>
      <c r="H21" s="1">
        <v>7</v>
      </c>
      <c r="I21" s="106">
        <v>5</v>
      </c>
      <c r="J21" s="108">
        <v>1</v>
      </c>
      <c r="L21" s="1"/>
      <c r="M21" s="1"/>
      <c r="N21" s="1"/>
      <c r="O21" s="1"/>
      <c r="P21" s="1"/>
      <c r="Q21" s="1"/>
    </row>
    <row r="22" spans="1:17" ht="15.75" thickBot="1">
      <c r="A22" s="1" t="s">
        <v>15</v>
      </c>
      <c r="B22" s="1" t="s">
        <v>11</v>
      </c>
      <c r="C22" s="1" t="s">
        <v>36</v>
      </c>
      <c r="D22" s="1">
        <v>5</v>
      </c>
      <c r="E22" s="1">
        <v>6</v>
      </c>
      <c r="F22" s="1">
        <v>4000</v>
      </c>
      <c r="G22" s="1">
        <v>2.5</v>
      </c>
      <c r="H22" s="1">
        <v>5.4</v>
      </c>
      <c r="I22" s="106">
        <v>3.8</v>
      </c>
      <c r="J22" s="108">
        <v>4</v>
      </c>
      <c r="L22" s="1"/>
      <c r="M22" s="1"/>
      <c r="N22" s="1"/>
      <c r="O22" s="1"/>
      <c r="P22" s="1"/>
      <c r="Q22" s="1"/>
    </row>
    <row r="23" spans="1:17" ht="15.75" thickBot="1">
      <c r="A23" s="1" t="s">
        <v>18</v>
      </c>
      <c r="B23" s="1" t="s">
        <v>13</v>
      </c>
      <c r="C23" s="1" t="s">
        <v>37</v>
      </c>
      <c r="D23" s="1">
        <v>3</v>
      </c>
      <c r="E23" s="1">
        <v>12</v>
      </c>
      <c r="F23" s="1">
        <v>3500</v>
      </c>
      <c r="G23" s="1">
        <v>1.5</v>
      </c>
      <c r="H23" s="1">
        <v>4.5</v>
      </c>
      <c r="I23" s="106">
        <v>5</v>
      </c>
      <c r="J23" s="108">
        <v>3</v>
      </c>
      <c r="L23" s="1"/>
      <c r="M23" s="1"/>
      <c r="N23" s="1"/>
      <c r="O23" s="1"/>
      <c r="P23" s="1"/>
      <c r="Q23" s="1"/>
    </row>
    <row r="24" spans="1:17" ht="15.75" thickBot="1">
      <c r="A24" s="1" t="s">
        <v>18</v>
      </c>
      <c r="B24" s="1" t="s">
        <v>13</v>
      </c>
      <c r="C24" s="1" t="s">
        <v>38</v>
      </c>
      <c r="D24" s="1">
        <v>1</v>
      </c>
      <c r="E24" s="1">
        <v>29</v>
      </c>
      <c r="F24" s="1">
        <v>4000</v>
      </c>
      <c r="G24" s="1">
        <v>3.5</v>
      </c>
      <c r="H24" s="1">
        <v>6.3</v>
      </c>
      <c r="I24" s="106">
        <v>4.2</v>
      </c>
      <c r="J24" s="108">
        <v>3</v>
      </c>
      <c r="L24" s="1"/>
      <c r="M24" s="1"/>
      <c r="N24" s="1"/>
      <c r="O24" s="1"/>
      <c r="P24" s="1"/>
      <c r="Q24" s="1"/>
    </row>
    <row r="25" spans="1:17" ht="15.75" thickBot="1">
      <c r="A25" s="1" t="s">
        <v>15</v>
      </c>
      <c r="B25" s="1" t="s">
        <v>13</v>
      </c>
      <c r="C25" s="1" t="s">
        <v>39</v>
      </c>
      <c r="D25" s="1">
        <v>3</v>
      </c>
      <c r="E25" s="1">
        <v>27</v>
      </c>
      <c r="F25" s="1">
        <v>3500</v>
      </c>
      <c r="G25" s="1">
        <v>5</v>
      </c>
      <c r="H25" s="1">
        <v>6.9</v>
      </c>
      <c r="I25" s="106">
        <v>5</v>
      </c>
      <c r="J25" s="108">
        <v>4</v>
      </c>
      <c r="L25" s="1"/>
      <c r="M25" s="1"/>
      <c r="N25" s="1"/>
      <c r="O25" s="1"/>
      <c r="P25" s="1"/>
      <c r="Q25" s="1"/>
    </row>
    <row r="26" spans="1:17" ht="15.75" thickBot="1">
      <c r="A26" s="1" t="s">
        <v>15</v>
      </c>
      <c r="B26" s="1" t="s">
        <v>13</v>
      </c>
      <c r="C26" s="1" t="s">
        <v>40</v>
      </c>
      <c r="D26" s="1">
        <v>1</v>
      </c>
      <c r="E26" s="1">
        <v>11</v>
      </c>
      <c r="F26" s="1">
        <v>3500</v>
      </c>
      <c r="G26" s="1">
        <v>3</v>
      </c>
      <c r="H26" s="1">
        <v>6.3</v>
      </c>
      <c r="I26" s="106">
        <v>4.2</v>
      </c>
      <c r="J26" s="108">
        <v>1</v>
      </c>
      <c r="L26" s="1"/>
      <c r="M26" s="1"/>
      <c r="N26" s="1"/>
      <c r="O26" s="1"/>
      <c r="P26" s="1"/>
      <c r="Q26" s="1"/>
    </row>
    <row r="27" spans="1:17" ht="15.75" thickBot="1">
      <c r="A27" s="1" t="s">
        <v>26</v>
      </c>
      <c r="B27" s="1" t="s">
        <v>16</v>
      </c>
      <c r="C27" s="1" t="s">
        <v>41</v>
      </c>
      <c r="D27" s="1">
        <v>1</v>
      </c>
      <c r="E27" s="1">
        <v>24</v>
      </c>
      <c r="F27" s="1">
        <v>4000</v>
      </c>
      <c r="G27" s="1">
        <v>5</v>
      </c>
      <c r="H27" s="1">
        <v>6.9</v>
      </c>
      <c r="I27" s="106">
        <v>5</v>
      </c>
      <c r="J27" s="108">
        <v>3</v>
      </c>
      <c r="L27" s="1"/>
      <c r="M27" s="1"/>
      <c r="N27" s="1"/>
      <c r="O27" s="1"/>
      <c r="P27" s="1"/>
      <c r="Q27" s="1"/>
    </row>
    <row r="28" spans="1:17" ht="15.75" thickBot="1">
      <c r="A28" s="1" t="s">
        <v>20</v>
      </c>
      <c r="B28" s="1" t="s">
        <v>13</v>
      </c>
      <c r="C28" s="1" t="s">
        <v>42</v>
      </c>
      <c r="D28" s="1">
        <v>3</v>
      </c>
      <c r="E28" s="1">
        <v>14</v>
      </c>
      <c r="F28" s="1">
        <v>4000</v>
      </c>
      <c r="G28" s="1">
        <v>5</v>
      </c>
      <c r="H28" s="1">
        <v>6.9</v>
      </c>
      <c r="I28" s="106">
        <v>4.2</v>
      </c>
      <c r="J28" s="108">
        <v>2</v>
      </c>
      <c r="L28" s="1"/>
      <c r="M28" s="1"/>
      <c r="N28" s="1"/>
      <c r="O28" s="1"/>
      <c r="P28" s="1"/>
      <c r="Q28" s="1"/>
    </row>
    <row r="29" spans="1:17" ht="15.75" thickBot="1">
      <c r="A29" s="1" t="s">
        <v>20</v>
      </c>
      <c r="B29" s="1" t="s">
        <v>27</v>
      </c>
      <c r="C29" s="1" t="s">
        <v>43</v>
      </c>
      <c r="D29" s="1">
        <v>2</v>
      </c>
      <c r="E29" s="1">
        <v>18</v>
      </c>
      <c r="F29" s="1">
        <v>3500</v>
      </c>
      <c r="G29" s="1">
        <v>4</v>
      </c>
      <c r="H29" s="1">
        <v>5.5</v>
      </c>
      <c r="I29" s="106">
        <v>4.2</v>
      </c>
      <c r="J29" s="108">
        <v>4</v>
      </c>
      <c r="L29" s="1"/>
      <c r="M29" s="1"/>
      <c r="N29" s="1"/>
      <c r="O29" s="1"/>
      <c r="P29" s="1"/>
      <c r="Q29" s="1"/>
    </row>
    <row r="30" spans="1:17" ht="15.75" thickBot="1">
      <c r="A30" s="1" t="s">
        <v>15</v>
      </c>
      <c r="B30" s="1" t="s">
        <v>23</v>
      </c>
      <c r="C30" s="1" t="s">
        <v>44</v>
      </c>
      <c r="D30" s="1">
        <v>3</v>
      </c>
      <c r="E30" s="1">
        <v>6</v>
      </c>
      <c r="F30" s="1">
        <v>3300</v>
      </c>
      <c r="G30" s="1">
        <v>1</v>
      </c>
      <c r="H30" s="1">
        <v>6</v>
      </c>
      <c r="I30" s="106">
        <v>5</v>
      </c>
      <c r="J30" s="108">
        <v>4</v>
      </c>
      <c r="L30" s="1"/>
      <c r="M30" s="1"/>
      <c r="N30" s="1"/>
      <c r="O30" s="1"/>
      <c r="P30" s="1"/>
      <c r="Q30" s="1"/>
    </row>
    <row r="31" spans="1:17" ht="15.75" thickBot="1">
      <c r="A31" s="1" t="s">
        <v>15</v>
      </c>
      <c r="B31" s="1" t="s">
        <v>23</v>
      </c>
      <c r="C31" s="1" t="s">
        <v>45</v>
      </c>
      <c r="D31" s="1">
        <v>5</v>
      </c>
      <c r="E31" s="1">
        <v>32</v>
      </c>
      <c r="F31" s="1">
        <v>3500</v>
      </c>
      <c r="G31" s="1">
        <v>4</v>
      </c>
      <c r="H31" s="1">
        <v>6</v>
      </c>
      <c r="I31" s="106">
        <v>5</v>
      </c>
      <c r="J31" s="108">
        <v>4</v>
      </c>
      <c r="L31" s="1"/>
      <c r="M31" s="1"/>
      <c r="N31" s="1"/>
      <c r="O31" s="1"/>
      <c r="P31" s="1"/>
      <c r="Q31" s="1"/>
    </row>
    <row r="32" spans="1:17" ht="15.75" thickBot="1">
      <c r="A32" s="1" t="s">
        <v>15</v>
      </c>
      <c r="B32" s="1" t="s">
        <v>16</v>
      </c>
      <c r="C32" s="1" t="s">
        <v>46</v>
      </c>
      <c r="D32" s="1">
        <v>3</v>
      </c>
      <c r="E32" s="1">
        <v>6</v>
      </c>
      <c r="F32" s="1">
        <v>4500</v>
      </c>
      <c r="G32" s="1">
        <v>3</v>
      </c>
      <c r="H32" s="1">
        <v>6</v>
      </c>
      <c r="I32" s="106">
        <v>3.8</v>
      </c>
      <c r="J32" s="108">
        <v>1</v>
      </c>
      <c r="L32" s="1"/>
      <c r="M32" s="1"/>
      <c r="N32" s="1"/>
      <c r="O32" s="1"/>
      <c r="P32" s="1"/>
      <c r="Q32" s="1"/>
    </row>
    <row r="33" spans="1:17" ht="15.75" thickBot="1">
      <c r="A33" s="1" t="s">
        <v>20</v>
      </c>
      <c r="B33" s="1" t="s">
        <v>25</v>
      </c>
      <c r="C33" s="1" t="s">
        <v>47</v>
      </c>
      <c r="D33" s="1">
        <v>1</v>
      </c>
      <c r="E33" s="1">
        <v>25</v>
      </c>
      <c r="F33" s="1">
        <v>4500</v>
      </c>
      <c r="G33" s="1">
        <v>1</v>
      </c>
      <c r="H33" s="1">
        <v>6</v>
      </c>
      <c r="I33" s="106">
        <v>4.2</v>
      </c>
      <c r="J33" s="108">
        <v>4</v>
      </c>
      <c r="L33" s="1"/>
      <c r="M33" s="1"/>
      <c r="N33" s="1"/>
      <c r="O33" s="1"/>
      <c r="P33" s="1"/>
      <c r="Q33" s="1"/>
    </row>
    <row r="34" spans="1:17" ht="15.75" thickBot="1">
      <c r="A34" s="1" t="s">
        <v>18</v>
      </c>
      <c r="B34" s="1" t="s">
        <v>23</v>
      </c>
      <c r="C34" s="1" t="s">
        <v>48</v>
      </c>
      <c r="D34" s="1">
        <v>4</v>
      </c>
      <c r="E34" s="1">
        <v>8</v>
      </c>
      <c r="F34" s="1">
        <v>4000</v>
      </c>
      <c r="G34" s="1">
        <v>1</v>
      </c>
      <c r="H34" s="1">
        <v>6.9</v>
      </c>
      <c r="I34" s="106">
        <v>3.8</v>
      </c>
      <c r="J34" s="108">
        <v>4</v>
      </c>
      <c r="L34" s="1"/>
      <c r="M34" s="1"/>
      <c r="N34" s="1"/>
      <c r="O34" s="1"/>
      <c r="P34" s="1"/>
      <c r="Q34" s="1"/>
    </row>
    <row r="35" spans="1:17" ht="15.75" thickBot="1">
      <c r="A35" s="1" t="s">
        <v>26</v>
      </c>
      <c r="B35" s="1" t="s">
        <v>16</v>
      </c>
      <c r="C35" s="1" t="s">
        <v>49</v>
      </c>
      <c r="D35" s="1">
        <v>1</v>
      </c>
      <c r="E35" s="1">
        <v>21</v>
      </c>
      <c r="F35" s="1">
        <v>3500</v>
      </c>
      <c r="G35" s="1">
        <v>4</v>
      </c>
      <c r="H35" s="1">
        <v>5.8</v>
      </c>
      <c r="I35" s="106">
        <v>4.2</v>
      </c>
      <c r="J35" s="108">
        <v>2</v>
      </c>
      <c r="L35" s="1"/>
      <c r="M35" s="1"/>
      <c r="N35" s="1"/>
      <c r="O35" s="1"/>
      <c r="P35" s="1"/>
      <c r="Q35" s="1"/>
    </row>
    <row r="36" spans="1:17" ht="15.75" thickBot="1">
      <c r="A36" s="1" t="s">
        <v>10</v>
      </c>
      <c r="B36" s="1" t="s">
        <v>23</v>
      </c>
      <c r="C36" s="1" t="s">
        <v>50</v>
      </c>
      <c r="D36" s="1">
        <v>4</v>
      </c>
      <c r="E36" s="1">
        <v>7</v>
      </c>
      <c r="F36" s="1">
        <v>3500</v>
      </c>
      <c r="G36" s="1">
        <v>1</v>
      </c>
      <c r="H36" s="1">
        <v>5.8</v>
      </c>
      <c r="I36" s="106">
        <v>5</v>
      </c>
      <c r="J36" s="108">
        <v>4</v>
      </c>
      <c r="L36" s="1"/>
      <c r="M36" s="1"/>
      <c r="N36" s="1"/>
      <c r="O36" s="1"/>
      <c r="P36" s="1"/>
      <c r="Q36" s="1"/>
    </row>
    <row r="37" spans="1:17" ht="15.75" thickBot="1">
      <c r="A37" s="1" t="s">
        <v>20</v>
      </c>
      <c r="B37" s="1" t="s">
        <v>25</v>
      </c>
      <c r="C37" s="1" t="s">
        <v>51</v>
      </c>
      <c r="D37" s="1">
        <v>2</v>
      </c>
      <c r="E37" s="1">
        <v>31</v>
      </c>
      <c r="F37" s="1">
        <v>3500</v>
      </c>
      <c r="G37" s="1">
        <v>4.5</v>
      </c>
      <c r="H37" s="1">
        <v>6.3</v>
      </c>
      <c r="I37" s="106">
        <v>5</v>
      </c>
      <c r="J37" s="108">
        <v>2</v>
      </c>
      <c r="L37" s="1"/>
      <c r="M37" s="1"/>
      <c r="N37" s="1"/>
      <c r="O37" s="1"/>
      <c r="P37" s="1"/>
      <c r="Q37" s="1"/>
    </row>
    <row r="38" spans="1:17" ht="15.75" thickBot="1">
      <c r="A38" s="1" t="s">
        <v>20</v>
      </c>
      <c r="B38" s="1" t="s">
        <v>11</v>
      </c>
      <c r="C38" s="1" t="s">
        <v>52</v>
      </c>
      <c r="D38" s="1">
        <v>1</v>
      </c>
      <c r="E38" s="1">
        <v>16</v>
      </c>
      <c r="F38" s="1">
        <v>4500</v>
      </c>
      <c r="G38" s="1">
        <v>2</v>
      </c>
      <c r="H38" s="1">
        <v>6</v>
      </c>
      <c r="I38" s="106">
        <v>3.8</v>
      </c>
      <c r="J38" s="108">
        <v>2</v>
      </c>
      <c r="L38" s="1"/>
      <c r="M38" s="1"/>
      <c r="N38" s="1"/>
      <c r="O38" s="1"/>
      <c r="P38" s="1"/>
      <c r="Q38" s="1"/>
    </row>
    <row r="39" spans="1:17" ht="15.75" thickBot="1">
      <c r="A39" s="1" t="s">
        <v>18</v>
      </c>
      <c r="B39" s="1" t="s">
        <v>27</v>
      </c>
      <c r="C39" s="1" t="s">
        <v>53</v>
      </c>
      <c r="D39" s="1">
        <v>3</v>
      </c>
      <c r="E39" s="1">
        <v>16</v>
      </c>
      <c r="F39" s="1">
        <v>3500</v>
      </c>
      <c r="G39" s="1">
        <v>5</v>
      </c>
      <c r="H39" s="1">
        <v>6.8</v>
      </c>
      <c r="I39" s="106">
        <v>3.8</v>
      </c>
      <c r="J39" s="108">
        <v>2</v>
      </c>
      <c r="L39" s="1"/>
      <c r="M39" s="1"/>
      <c r="N39" s="1"/>
      <c r="O39" s="1"/>
      <c r="P39" s="1"/>
      <c r="Q39" s="1"/>
    </row>
    <row r="40" spans="1:17" ht="15.75" thickBot="1">
      <c r="A40" s="1" t="s">
        <v>26</v>
      </c>
      <c r="B40" s="1" t="s">
        <v>11</v>
      </c>
      <c r="C40" s="1" t="s">
        <v>54</v>
      </c>
      <c r="D40" s="1">
        <v>1</v>
      </c>
      <c r="E40" s="1">
        <v>13</v>
      </c>
      <c r="F40" s="1">
        <v>3500</v>
      </c>
      <c r="G40" s="1">
        <v>3</v>
      </c>
      <c r="H40" s="1">
        <v>5.0999999999999996</v>
      </c>
      <c r="I40" s="106">
        <v>5</v>
      </c>
      <c r="J40" s="108">
        <v>2</v>
      </c>
      <c r="L40" s="1"/>
      <c r="M40" s="1"/>
      <c r="N40" s="1"/>
      <c r="O40" s="1"/>
      <c r="P40" s="1"/>
      <c r="Q40" s="1"/>
    </row>
    <row r="41" spans="1:17" ht="15.75" thickBot="1">
      <c r="A41" s="1" t="s">
        <v>20</v>
      </c>
      <c r="B41" s="1" t="s">
        <v>11</v>
      </c>
      <c r="C41" s="1" t="s">
        <v>55</v>
      </c>
      <c r="D41" s="1">
        <v>1</v>
      </c>
      <c r="E41" s="1">
        <v>26</v>
      </c>
      <c r="F41" s="1">
        <v>4000</v>
      </c>
      <c r="G41" s="1">
        <v>4</v>
      </c>
      <c r="H41" s="1">
        <v>5.8</v>
      </c>
      <c r="I41" s="106">
        <v>3.7</v>
      </c>
      <c r="J41" s="108">
        <v>4</v>
      </c>
      <c r="L41" s="1"/>
      <c r="M41" s="1"/>
      <c r="N41" s="1"/>
      <c r="O41" s="1"/>
      <c r="P41" s="1"/>
      <c r="Q41" s="1"/>
    </row>
    <row r="42" spans="1:17" ht="15.75" thickBot="1">
      <c r="A42" s="1" t="s">
        <v>26</v>
      </c>
      <c r="B42" s="1" t="s">
        <v>25</v>
      </c>
      <c r="C42" s="1" t="s">
        <v>56</v>
      </c>
      <c r="D42" s="1">
        <v>1</v>
      </c>
      <c r="E42" s="1">
        <v>33</v>
      </c>
      <c r="F42" s="1">
        <v>4500</v>
      </c>
      <c r="G42" s="1">
        <v>1</v>
      </c>
      <c r="H42" s="1">
        <v>7</v>
      </c>
      <c r="I42" s="106">
        <v>3.7</v>
      </c>
      <c r="J42" s="108">
        <v>2</v>
      </c>
      <c r="L42" s="1"/>
      <c r="M42" s="1"/>
      <c r="N42" s="1"/>
      <c r="O42" s="1"/>
      <c r="P42" s="1"/>
      <c r="Q42" s="1"/>
    </row>
    <row r="43" spans="1:17" ht="15.75" thickBot="1">
      <c r="A43" s="1" t="s">
        <v>18</v>
      </c>
      <c r="B43" s="1" t="s">
        <v>27</v>
      </c>
      <c r="C43" s="1" t="s">
        <v>57</v>
      </c>
      <c r="D43" s="1">
        <v>4</v>
      </c>
      <c r="E43" s="1">
        <v>11</v>
      </c>
      <c r="F43" s="1">
        <v>3500</v>
      </c>
      <c r="G43" s="1">
        <v>3</v>
      </c>
      <c r="H43" s="1">
        <v>4.7</v>
      </c>
      <c r="I43" s="106">
        <v>5</v>
      </c>
      <c r="J43" s="108">
        <v>3</v>
      </c>
      <c r="L43" s="1"/>
      <c r="M43" s="1"/>
      <c r="N43" s="1"/>
      <c r="O43" s="1"/>
      <c r="P43" s="1"/>
      <c r="Q43" s="1"/>
    </row>
    <row r="44" spans="1:17" ht="15.75" thickBot="1">
      <c r="A44" s="1" t="s">
        <v>26</v>
      </c>
      <c r="B44" s="1" t="s">
        <v>11</v>
      </c>
      <c r="C44" s="1" t="s">
        <v>58</v>
      </c>
      <c r="D44" s="1">
        <v>2</v>
      </c>
      <c r="E44" s="1">
        <v>17</v>
      </c>
      <c r="F44" s="1">
        <v>3500</v>
      </c>
      <c r="G44" s="1">
        <v>5</v>
      </c>
      <c r="H44" s="1">
        <v>5.8</v>
      </c>
      <c r="I44" s="106">
        <v>5</v>
      </c>
      <c r="J44" s="108">
        <v>4</v>
      </c>
      <c r="L44" s="1"/>
      <c r="M44" s="1"/>
      <c r="N44" s="1"/>
      <c r="O44" s="1"/>
      <c r="P44" s="1"/>
      <c r="Q44" s="1"/>
    </row>
    <row r="45" spans="1:17" ht="15.75" thickBot="1">
      <c r="A45" s="1" t="s">
        <v>18</v>
      </c>
      <c r="B45" s="1" t="s">
        <v>13</v>
      </c>
      <c r="C45" s="1" t="s">
        <v>59</v>
      </c>
      <c r="D45" s="1">
        <v>2</v>
      </c>
      <c r="E45" s="1">
        <v>25</v>
      </c>
      <c r="F45" s="1">
        <v>4500</v>
      </c>
      <c r="G45" s="1">
        <v>3</v>
      </c>
      <c r="H45" s="1">
        <v>6.3</v>
      </c>
      <c r="I45" s="106">
        <v>4.2</v>
      </c>
      <c r="J45" s="107">
        <v>2</v>
      </c>
      <c r="L45" s="1"/>
      <c r="M45" s="1"/>
      <c r="N45" s="1"/>
      <c r="O45" s="1"/>
      <c r="P45" s="1"/>
      <c r="Q45" s="1"/>
    </row>
    <row r="46" spans="1:17" ht="15.75" thickBot="1">
      <c r="A46" s="1" t="s">
        <v>10</v>
      </c>
      <c r="B46" s="1" t="s">
        <v>16</v>
      </c>
      <c r="C46" s="1" t="s">
        <v>60</v>
      </c>
      <c r="D46" s="1">
        <v>2</v>
      </c>
      <c r="E46" s="1">
        <v>34</v>
      </c>
      <c r="F46" s="1">
        <v>4500</v>
      </c>
      <c r="G46" s="1">
        <v>4</v>
      </c>
      <c r="H46" s="1">
        <v>6</v>
      </c>
      <c r="I46" s="106">
        <v>3.8</v>
      </c>
      <c r="J46" s="108">
        <v>1</v>
      </c>
      <c r="L46" s="1"/>
      <c r="M46" s="1"/>
      <c r="N46" s="1"/>
      <c r="O46" s="1"/>
      <c r="P46" s="1"/>
      <c r="Q46" s="1"/>
    </row>
    <row r="47" spans="1:17" ht="15.75" thickBot="1">
      <c r="A47" s="1" t="s">
        <v>26</v>
      </c>
      <c r="B47" s="1" t="s">
        <v>11</v>
      </c>
      <c r="C47" s="1" t="s">
        <v>61</v>
      </c>
      <c r="D47" s="1">
        <v>1</v>
      </c>
      <c r="E47" s="1">
        <v>27</v>
      </c>
      <c r="F47" s="1">
        <v>4000</v>
      </c>
      <c r="G47" s="1">
        <v>4</v>
      </c>
      <c r="H47" s="1">
        <v>6.3</v>
      </c>
      <c r="I47" s="106">
        <v>3.8</v>
      </c>
      <c r="J47" s="107">
        <v>1</v>
      </c>
      <c r="L47" s="1"/>
      <c r="M47" s="1"/>
      <c r="N47" s="1"/>
      <c r="O47" s="1"/>
      <c r="P47" s="1"/>
      <c r="Q47" s="1"/>
    </row>
    <row r="48" spans="1:17" ht="15.75" thickBot="1">
      <c r="A48" s="1" t="s">
        <v>18</v>
      </c>
      <c r="B48" s="1" t="s">
        <v>16</v>
      </c>
      <c r="C48" s="1" t="s">
        <v>62</v>
      </c>
      <c r="D48" s="1">
        <v>3</v>
      </c>
      <c r="E48" s="1">
        <v>30</v>
      </c>
      <c r="F48" s="1">
        <v>3500</v>
      </c>
      <c r="G48" s="1">
        <v>2.5</v>
      </c>
      <c r="H48" s="1">
        <v>6.8</v>
      </c>
      <c r="I48" s="106">
        <v>5</v>
      </c>
      <c r="J48" s="109">
        <v>1</v>
      </c>
      <c r="L48" s="1"/>
      <c r="M48" s="1"/>
      <c r="N48" s="1"/>
      <c r="O48" s="1"/>
      <c r="P48" s="1"/>
      <c r="Q48" s="1"/>
    </row>
    <row r="49" spans="1:17" ht="15.75" thickBot="1">
      <c r="A49" s="1" t="s">
        <v>26</v>
      </c>
      <c r="B49" s="1" t="s">
        <v>23</v>
      </c>
      <c r="C49" s="1" t="s">
        <v>63</v>
      </c>
      <c r="D49" s="1">
        <v>1</v>
      </c>
      <c r="E49" s="1">
        <v>22</v>
      </c>
      <c r="F49" s="1">
        <v>3500</v>
      </c>
      <c r="G49" s="1">
        <v>1</v>
      </c>
      <c r="H49" s="1">
        <v>4.5</v>
      </c>
      <c r="I49" s="106">
        <v>4.2</v>
      </c>
      <c r="J49" s="108">
        <v>4</v>
      </c>
      <c r="L49" s="1"/>
      <c r="M49" s="1"/>
      <c r="N49" s="1"/>
      <c r="O49" s="1"/>
      <c r="P49" s="1"/>
      <c r="Q49" s="1"/>
    </row>
    <row r="50" spans="1:17" ht="15.75" thickBot="1">
      <c r="A50" s="1" t="s">
        <v>10</v>
      </c>
      <c r="B50" s="1" t="s">
        <v>11</v>
      </c>
      <c r="C50" s="1" t="s">
        <v>64</v>
      </c>
      <c r="D50" s="1">
        <v>3</v>
      </c>
      <c r="E50" s="1">
        <v>34</v>
      </c>
      <c r="F50" s="1">
        <v>4000</v>
      </c>
      <c r="G50" s="1">
        <v>4</v>
      </c>
      <c r="H50" s="1">
        <v>5.0999999999999996</v>
      </c>
      <c r="I50" s="106">
        <v>5</v>
      </c>
      <c r="J50" s="108">
        <v>2</v>
      </c>
      <c r="L50" s="1"/>
      <c r="M50" s="1"/>
      <c r="N50" s="1"/>
      <c r="O50" s="1"/>
      <c r="P50" s="1"/>
      <c r="Q50" s="1"/>
    </row>
    <row r="51" spans="1:17" ht="15.75" thickBot="1">
      <c r="A51" s="1" t="s">
        <v>15</v>
      </c>
      <c r="B51" s="1" t="s">
        <v>25</v>
      </c>
      <c r="C51" s="1" t="s">
        <v>65</v>
      </c>
      <c r="D51" s="1">
        <v>3</v>
      </c>
      <c r="E51" s="1">
        <v>16</v>
      </c>
      <c r="F51" s="1">
        <v>4000</v>
      </c>
      <c r="G51" s="1">
        <v>4</v>
      </c>
      <c r="H51" s="1">
        <v>6.3</v>
      </c>
      <c r="I51" s="106">
        <v>4.2</v>
      </c>
      <c r="J51" s="108">
        <v>2</v>
      </c>
      <c r="L51" s="1"/>
      <c r="M51" s="1"/>
      <c r="N51" s="1"/>
      <c r="O51" s="1"/>
      <c r="P51" s="1"/>
      <c r="Q51" s="1"/>
    </row>
    <row r="52" spans="1:17" ht="15.75" thickBot="1">
      <c r="A52" s="1" t="s">
        <v>20</v>
      </c>
      <c r="B52" s="1" t="s">
        <v>23</v>
      </c>
      <c r="C52" s="1" t="s">
        <v>66</v>
      </c>
      <c r="D52" s="1">
        <v>3</v>
      </c>
      <c r="E52" s="1">
        <v>27</v>
      </c>
      <c r="F52" s="1">
        <v>4000</v>
      </c>
      <c r="G52" s="1">
        <v>3</v>
      </c>
      <c r="H52" s="1">
        <v>6</v>
      </c>
      <c r="I52" s="106">
        <v>5</v>
      </c>
      <c r="J52" s="108">
        <v>4</v>
      </c>
      <c r="L52" s="1"/>
      <c r="M52" s="1"/>
      <c r="N52" s="1"/>
      <c r="O52" s="1"/>
      <c r="P52" s="1"/>
      <c r="Q52" s="1"/>
    </row>
    <row r="53" spans="1:17" ht="15.75" thickBot="1">
      <c r="A53" s="1" t="s">
        <v>15</v>
      </c>
      <c r="B53" s="1" t="s">
        <v>23</v>
      </c>
      <c r="C53" s="1" t="s">
        <v>67</v>
      </c>
      <c r="D53" s="1">
        <v>2</v>
      </c>
      <c r="E53" s="1">
        <v>27</v>
      </c>
      <c r="F53" s="1">
        <v>3500</v>
      </c>
      <c r="G53" s="1">
        <v>2</v>
      </c>
      <c r="H53" s="1">
        <v>5.4</v>
      </c>
      <c r="I53" s="106">
        <v>4.2</v>
      </c>
      <c r="J53" s="108">
        <v>2</v>
      </c>
      <c r="L53" s="1"/>
      <c r="M53" s="1"/>
      <c r="N53" s="1"/>
      <c r="O53" s="1"/>
      <c r="P53" s="1"/>
      <c r="Q53" s="1"/>
    </row>
    <row r="54" spans="1:17" ht="15.75" thickBot="1">
      <c r="A54" s="1" t="s">
        <v>20</v>
      </c>
      <c r="B54" s="1" t="s">
        <v>11</v>
      </c>
      <c r="C54" s="1" t="s">
        <v>68</v>
      </c>
      <c r="D54" s="1">
        <v>5</v>
      </c>
      <c r="E54" s="1">
        <v>26</v>
      </c>
      <c r="F54" s="1">
        <v>3500</v>
      </c>
      <c r="G54" s="1">
        <v>3.5</v>
      </c>
      <c r="H54" s="1">
        <v>6.9</v>
      </c>
      <c r="I54" s="106">
        <v>3.7</v>
      </c>
      <c r="J54" s="108">
        <v>2</v>
      </c>
      <c r="L54" s="1"/>
      <c r="M54" s="1"/>
      <c r="N54" s="1"/>
      <c r="O54" s="1"/>
      <c r="P54" s="1"/>
      <c r="Q54" s="1"/>
    </row>
    <row r="55" spans="1:17" ht="15.75" thickBot="1">
      <c r="A55" s="1" t="s">
        <v>20</v>
      </c>
      <c r="B55" s="1" t="s">
        <v>23</v>
      </c>
      <c r="C55" s="1" t="s">
        <v>69</v>
      </c>
      <c r="D55" s="1">
        <v>1</v>
      </c>
      <c r="E55" s="1">
        <v>27</v>
      </c>
      <c r="F55" s="1">
        <v>3500</v>
      </c>
      <c r="G55" s="1">
        <v>3</v>
      </c>
      <c r="H55" s="1">
        <v>5.0999999999999996</v>
      </c>
      <c r="I55" s="106">
        <v>5</v>
      </c>
      <c r="J55" s="107">
        <v>1</v>
      </c>
      <c r="L55" s="1"/>
      <c r="M55" s="1"/>
      <c r="N55" s="1"/>
      <c r="O55" s="1"/>
      <c r="P55" s="1"/>
      <c r="Q55" s="1"/>
    </row>
    <row r="56" spans="1:17" ht="15.75" thickBot="1">
      <c r="A56" s="1" t="s">
        <v>26</v>
      </c>
      <c r="B56" s="1" t="s">
        <v>11</v>
      </c>
      <c r="C56" s="1" t="s">
        <v>70</v>
      </c>
      <c r="D56" s="1">
        <v>1</v>
      </c>
      <c r="E56" s="1">
        <v>21</v>
      </c>
      <c r="F56" s="1">
        <v>3300</v>
      </c>
      <c r="G56" s="1">
        <v>2</v>
      </c>
      <c r="H56" s="1">
        <v>7</v>
      </c>
      <c r="I56" s="106">
        <v>5</v>
      </c>
      <c r="J56" s="108">
        <v>4</v>
      </c>
      <c r="L56" s="1"/>
      <c r="M56" s="1"/>
      <c r="N56" s="1"/>
      <c r="O56" s="1"/>
      <c r="P56" s="1"/>
      <c r="Q56" s="1"/>
    </row>
    <row r="57" spans="1:17" ht="15.75" thickBot="1">
      <c r="A57" s="1" t="s">
        <v>18</v>
      </c>
      <c r="B57" s="1" t="s">
        <v>23</v>
      </c>
      <c r="C57" s="1" t="s">
        <v>71</v>
      </c>
      <c r="D57" s="1">
        <v>5</v>
      </c>
      <c r="E57" s="1">
        <v>14</v>
      </c>
      <c r="F57" s="1">
        <v>4500</v>
      </c>
      <c r="G57" s="1">
        <v>1.5</v>
      </c>
      <c r="H57" s="1">
        <v>6.9</v>
      </c>
      <c r="I57" s="106">
        <v>4.2</v>
      </c>
      <c r="J57" s="108">
        <v>3</v>
      </c>
      <c r="L57" s="1"/>
      <c r="M57" s="1"/>
      <c r="N57" s="1"/>
      <c r="O57" s="1"/>
      <c r="P57" s="1"/>
      <c r="Q57" s="1"/>
    </row>
    <row r="58" spans="1:17" ht="15.75" thickBot="1">
      <c r="A58" s="1" t="s">
        <v>20</v>
      </c>
      <c r="B58" s="1" t="s">
        <v>16</v>
      </c>
      <c r="C58" s="1" t="s">
        <v>72</v>
      </c>
      <c r="D58" s="1">
        <v>3</v>
      </c>
      <c r="E58" s="1">
        <v>21</v>
      </c>
      <c r="F58" s="1">
        <v>3500</v>
      </c>
      <c r="G58" s="1">
        <v>4</v>
      </c>
      <c r="H58" s="1">
        <v>6</v>
      </c>
      <c r="I58" s="106">
        <v>5</v>
      </c>
      <c r="J58" s="108">
        <v>1</v>
      </c>
      <c r="L58" s="1"/>
      <c r="M58" s="1"/>
      <c r="N58" s="1"/>
      <c r="O58" s="1"/>
      <c r="P58" s="1"/>
      <c r="Q58" s="1"/>
    </row>
    <row r="59" spans="1:17" ht="15.75" thickBot="1">
      <c r="A59" s="1" t="s">
        <v>15</v>
      </c>
      <c r="B59" s="1" t="s">
        <v>23</v>
      </c>
      <c r="C59" s="1" t="s">
        <v>73</v>
      </c>
      <c r="D59" s="1">
        <v>2</v>
      </c>
      <c r="E59" s="1">
        <v>22</v>
      </c>
      <c r="F59" s="1">
        <v>4500</v>
      </c>
      <c r="G59" s="1">
        <v>3</v>
      </c>
      <c r="H59" s="1">
        <v>7</v>
      </c>
      <c r="I59" s="106">
        <v>5</v>
      </c>
      <c r="J59" s="108">
        <v>4</v>
      </c>
      <c r="L59" s="1"/>
      <c r="M59" s="1"/>
      <c r="N59" s="1"/>
      <c r="O59" s="1"/>
      <c r="P59" s="1"/>
      <c r="Q59" s="1"/>
    </row>
    <row r="60" spans="1:17" ht="15.75" thickBot="1">
      <c r="A60" s="1" t="s">
        <v>10</v>
      </c>
      <c r="B60" s="1" t="s">
        <v>25</v>
      </c>
      <c r="C60" s="1" t="s">
        <v>74</v>
      </c>
      <c r="D60" s="1">
        <v>2</v>
      </c>
      <c r="E60" s="1">
        <v>17</v>
      </c>
      <c r="F60" s="1">
        <v>3000</v>
      </c>
      <c r="G60" s="1">
        <v>1</v>
      </c>
      <c r="H60" s="1">
        <v>5.9</v>
      </c>
      <c r="I60" s="106">
        <v>5</v>
      </c>
      <c r="J60" s="108">
        <v>4</v>
      </c>
      <c r="L60" s="1"/>
      <c r="M60" s="1"/>
      <c r="N60" s="1"/>
      <c r="O60" s="1"/>
      <c r="P60" s="1"/>
      <c r="Q60" s="1"/>
    </row>
    <row r="61" spans="1:17" ht="15.75" thickBot="1">
      <c r="A61" s="1" t="s">
        <v>18</v>
      </c>
      <c r="B61" s="1" t="s">
        <v>27</v>
      </c>
      <c r="C61" s="1" t="s">
        <v>75</v>
      </c>
      <c r="D61" s="1">
        <v>1</v>
      </c>
      <c r="E61" s="1">
        <v>18</v>
      </c>
      <c r="F61" s="1">
        <v>4000</v>
      </c>
      <c r="G61" s="1">
        <v>2.5</v>
      </c>
      <c r="H61" s="1">
        <v>7</v>
      </c>
      <c r="I61" s="106">
        <v>4.2</v>
      </c>
      <c r="J61" s="109">
        <v>1</v>
      </c>
      <c r="L61" s="1"/>
      <c r="M61" s="1"/>
      <c r="N61" s="1"/>
      <c r="O61" s="1"/>
      <c r="P61" s="1"/>
      <c r="Q61" s="1"/>
    </row>
    <row r="62" spans="1:17" ht="15.75" thickBot="1">
      <c r="A62" s="1" t="s">
        <v>15</v>
      </c>
      <c r="B62" s="1" t="s">
        <v>27</v>
      </c>
      <c r="C62" s="1" t="s">
        <v>76</v>
      </c>
      <c r="D62" s="1">
        <v>3</v>
      </c>
      <c r="E62" s="1">
        <v>32</v>
      </c>
      <c r="F62" s="1">
        <v>3500</v>
      </c>
      <c r="G62" s="1">
        <v>3.5</v>
      </c>
      <c r="H62" s="1">
        <v>5.4</v>
      </c>
      <c r="I62" s="106">
        <v>5</v>
      </c>
      <c r="J62" s="108">
        <v>3</v>
      </c>
      <c r="L62" s="1"/>
      <c r="M62" s="1"/>
      <c r="N62" s="1"/>
      <c r="O62" s="1"/>
      <c r="P62" s="1"/>
      <c r="Q62" s="1"/>
    </row>
    <row r="63" spans="1:17" ht="15.75" thickBot="1">
      <c r="A63" s="1" t="s">
        <v>26</v>
      </c>
      <c r="B63" s="1" t="s">
        <v>27</v>
      </c>
      <c r="C63" s="1" t="s">
        <v>77</v>
      </c>
      <c r="D63" s="1">
        <v>3</v>
      </c>
      <c r="E63" s="1">
        <v>19</v>
      </c>
      <c r="F63" s="1">
        <v>3500</v>
      </c>
      <c r="G63" s="1">
        <v>1</v>
      </c>
      <c r="H63" s="1">
        <v>4.7</v>
      </c>
      <c r="I63" s="106">
        <v>4.2</v>
      </c>
      <c r="J63" s="108">
        <v>3</v>
      </c>
      <c r="L63" s="1"/>
      <c r="M63" s="1"/>
      <c r="N63" s="1"/>
      <c r="O63" s="1"/>
      <c r="P63" s="1"/>
      <c r="Q63" s="1"/>
    </row>
    <row r="64" spans="1:17" ht="15.75" thickBot="1">
      <c r="A64" s="1" t="s">
        <v>10</v>
      </c>
      <c r="B64" s="1" t="s">
        <v>11</v>
      </c>
      <c r="C64" s="1" t="s">
        <v>78</v>
      </c>
      <c r="D64" s="1">
        <v>2</v>
      </c>
      <c r="E64" s="1">
        <v>21</v>
      </c>
      <c r="F64" s="1">
        <v>4500</v>
      </c>
      <c r="G64" s="1">
        <v>4</v>
      </c>
      <c r="H64" s="1">
        <v>6.9</v>
      </c>
      <c r="I64" s="106">
        <v>5</v>
      </c>
      <c r="J64" s="108">
        <v>1</v>
      </c>
      <c r="L64" s="1"/>
      <c r="M64" s="1"/>
      <c r="N64" s="1"/>
      <c r="O64" s="1"/>
      <c r="P64" s="1"/>
      <c r="Q64" s="1"/>
    </row>
    <row r="65" spans="1:17" ht="15.75" thickBot="1">
      <c r="A65" s="1" t="s">
        <v>18</v>
      </c>
      <c r="B65" s="1" t="s">
        <v>11</v>
      </c>
      <c r="C65" s="1" t="s">
        <v>79</v>
      </c>
      <c r="D65" s="1">
        <v>1</v>
      </c>
      <c r="E65" s="1">
        <v>11</v>
      </c>
      <c r="F65" s="1">
        <v>4500</v>
      </c>
      <c r="G65" s="1">
        <v>1</v>
      </c>
      <c r="H65" s="1">
        <v>6.3</v>
      </c>
      <c r="I65" s="106">
        <v>5</v>
      </c>
      <c r="J65" s="108">
        <v>2</v>
      </c>
      <c r="L65" s="1"/>
      <c r="M65" s="1"/>
      <c r="N65" s="1"/>
      <c r="O65" s="1"/>
      <c r="P65" s="1"/>
      <c r="Q65" s="1"/>
    </row>
    <row r="66" spans="1:17" ht="15.75" thickBot="1">
      <c r="A66" s="1" t="s">
        <v>10</v>
      </c>
      <c r="B66" s="1" t="s">
        <v>11</v>
      </c>
      <c r="C66" s="1" t="s">
        <v>80</v>
      </c>
      <c r="D66" s="1">
        <v>2</v>
      </c>
      <c r="E66" s="1">
        <v>14</v>
      </c>
      <c r="F66" s="1">
        <v>4000</v>
      </c>
      <c r="G66" s="1">
        <v>1</v>
      </c>
      <c r="H66" s="1">
        <v>6.8</v>
      </c>
      <c r="I66" s="106">
        <v>5</v>
      </c>
      <c r="J66" s="108">
        <v>4</v>
      </c>
      <c r="L66" s="1"/>
      <c r="M66" s="1"/>
      <c r="N66" s="1"/>
      <c r="O66" s="1"/>
      <c r="P66" s="1"/>
      <c r="Q66" s="1"/>
    </row>
    <row r="67" spans="1:17" ht="15.75" thickBot="1">
      <c r="A67" s="1" t="s">
        <v>18</v>
      </c>
      <c r="B67" s="1" t="s">
        <v>13</v>
      </c>
      <c r="C67" s="1" t="s">
        <v>81</v>
      </c>
      <c r="D67" s="1">
        <v>5</v>
      </c>
      <c r="E67" s="1">
        <v>18</v>
      </c>
      <c r="F67" s="1">
        <v>3500</v>
      </c>
      <c r="G67" s="1">
        <v>3</v>
      </c>
      <c r="H67" s="1">
        <v>5.2</v>
      </c>
      <c r="I67" s="106">
        <v>5</v>
      </c>
      <c r="J67" s="108">
        <v>4</v>
      </c>
      <c r="L67" s="1"/>
      <c r="M67" s="1"/>
      <c r="N67" s="1"/>
      <c r="O67" s="1"/>
      <c r="P67" s="1"/>
      <c r="Q67" s="1"/>
    </row>
    <row r="68" spans="1:17" ht="15.75" thickBot="1">
      <c r="A68" s="1" t="s">
        <v>18</v>
      </c>
      <c r="B68" s="1" t="s">
        <v>23</v>
      </c>
      <c r="C68" s="1" t="s">
        <v>82</v>
      </c>
      <c r="D68" s="1">
        <v>2</v>
      </c>
      <c r="E68" s="1">
        <v>5</v>
      </c>
      <c r="F68" s="1">
        <v>3000</v>
      </c>
      <c r="G68" s="1">
        <v>3.5</v>
      </c>
      <c r="H68" s="1">
        <v>6.3</v>
      </c>
      <c r="I68" s="106">
        <v>5</v>
      </c>
      <c r="J68" s="108">
        <v>2</v>
      </c>
      <c r="L68" s="1"/>
      <c r="M68" s="1"/>
      <c r="N68" s="1"/>
      <c r="O68" s="1"/>
      <c r="P68" s="1"/>
      <c r="Q68" s="1"/>
    </row>
    <row r="69" spans="1:17" ht="15.75" thickBot="1">
      <c r="A69" s="1" t="s">
        <v>20</v>
      </c>
      <c r="B69" s="1" t="s">
        <v>25</v>
      </c>
      <c r="C69" s="1" t="s">
        <v>83</v>
      </c>
      <c r="D69" s="1">
        <v>1</v>
      </c>
      <c r="E69" s="1">
        <v>7</v>
      </c>
      <c r="F69" s="1">
        <v>3500</v>
      </c>
      <c r="G69" s="1">
        <v>3</v>
      </c>
      <c r="H69" s="1">
        <v>5.8</v>
      </c>
      <c r="I69" s="106">
        <v>3.8</v>
      </c>
      <c r="J69" s="108">
        <v>2</v>
      </c>
      <c r="L69" s="1"/>
      <c r="M69" s="1"/>
      <c r="N69" s="1"/>
      <c r="O69" s="1"/>
      <c r="P69" s="1"/>
      <c r="Q69" s="1"/>
    </row>
    <row r="70" spans="1:17" ht="15.75" thickBot="1">
      <c r="A70" s="1" t="s">
        <v>18</v>
      </c>
      <c r="B70" s="1" t="s">
        <v>16</v>
      </c>
      <c r="C70" s="1" t="s">
        <v>84</v>
      </c>
      <c r="D70" s="1">
        <v>5</v>
      </c>
      <c r="E70" s="1">
        <v>18</v>
      </c>
      <c r="F70" s="1">
        <v>3500</v>
      </c>
      <c r="G70" s="1">
        <v>3</v>
      </c>
      <c r="H70" s="1">
        <v>5.2</v>
      </c>
      <c r="I70" s="106">
        <v>5</v>
      </c>
      <c r="J70" s="108">
        <v>1</v>
      </c>
      <c r="L70" s="1"/>
      <c r="M70" s="1"/>
      <c r="N70" s="1"/>
      <c r="O70" s="1"/>
      <c r="P70" s="1"/>
      <c r="Q70" s="1"/>
    </row>
    <row r="71" spans="1:17" ht="15.75" thickBot="1">
      <c r="A71" s="1" t="s">
        <v>20</v>
      </c>
      <c r="B71" s="1" t="s">
        <v>25</v>
      </c>
      <c r="C71" s="1" t="s">
        <v>85</v>
      </c>
      <c r="D71" s="1">
        <v>1</v>
      </c>
      <c r="E71" s="1">
        <v>6</v>
      </c>
      <c r="F71" s="1">
        <v>3500</v>
      </c>
      <c r="G71" s="1">
        <v>4</v>
      </c>
      <c r="H71" s="1">
        <v>5.9</v>
      </c>
      <c r="I71" s="106">
        <v>5</v>
      </c>
      <c r="J71" s="108">
        <v>2</v>
      </c>
      <c r="L71" s="1"/>
      <c r="M71" s="1"/>
      <c r="N71" s="1"/>
      <c r="O71" s="1"/>
      <c r="P71" s="1"/>
      <c r="Q71" s="1"/>
    </row>
    <row r="72" spans="1:17" ht="15.75" thickBot="1">
      <c r="A72" s="1" t="s">
        <v>20</v>
      </c>
      <c r="B72" s="1" t="s">
        <v>27</v>
      </c>
      <c r="C72" s="1" t="s">
        <v>86</v>
      </c>
      <c r="D72" s="1">
        <v>1</v>
      </c>
      <c r="E72" s="1">
        <v>34</v>
      </c>
      <c r="F72" s="1">
        <v>4500</v>
      </c>
      <c r="G72" s="1">
        <v>5</v>
      </c>
      <c r="H72" s="1">
        <v>5.8</v>
      </c>
      <c r="I72" s="106">
        <v>4.2</v>
      </c>
      <c r="J72" s="108">
        <v>1</v>
      </c>
      <c r="L72" s="1"/>
      <c r="M72" s="1"/>
      <c r="N72" s="1"/>
      <c r="O72" s="1"/>
      <c r="P72" s="1"/>
      <c r="Q72" s="1"/>
    </row>
    <row r="73" spans="1:17" ht="15.75" thickBot="1">
      <c r="A73" s="1" t="s">
        <v>20</v>
      </c>
      <c r="B73" s="1" t="s">
        <v>13</v>
      </c>
      <c r="C73" s="1" t="s">
        <v>87</v>
      </c>
      <c r="D73" s="1">
        <v>2</v>
      </c>
      <c r="E73" s="1">
        <v>32</v>
      </c>
      <c r="F73" s="1">
        <v>3500</v>
      </c>
      <c r="G73" s="1">
        <v>2.5</v>
      </c>
      <c r="H73" s="1">
        <v>5.7</v>
      </c>
      <c r="I73" s="106">
        <v>5</v>
      </c>
      <c r="J73" s="108">
        <v>4</v>
      </c>
      <c r="L73" s="1"/>
      <c r="M73" s="1"/>
      <c r="N73" s="1"/>
      <c r="O73" s="1"/>
      <c r="P73" s="1"/>
      <c r="Q73" s="1"/>
    </row>
    <row r="74" spans="1:17" ht="15.75" thickBot="1">
      <c r="A74" s="1" t="s">
        <v>20</v>
      </c>
      <c r="B74" s="1" t="s">
        <v>23</v>
      </c>
      <c r="C74" s="1" t="s">
        <v>88</v>
      </c>
      <c r="D74" s="1">
        <v>1</v>
      </c>
      <c r="E74" s="1">
        <v>8</v>
      </c>
      <c r="F74" s="1">
        <v>4000</v>
      </c>
      <c r="G74" s="1">
        <v>4</v>
      </c>
      <c r="H74" s="1">
        <v>6.9</v>
      </c>
      <c r="I74" s="106">
        <v>4.2</v>
      </c>
      <c r="J74" s="108">
        <v>4</v>
      </c>
      <c r="L74" s="1"/>
      <c r="M74" s="1"/>
      <c r="N74" s="1"/>
      <c r="O74" s="1"/>
      <c r="P74" s="1"/>
      <c r="Q74" s="1"/>
    </row>
    <row r="75" spans="1:17" ht="15.75" thickBot="1">
      <c r="A75" s="1" t="s">
        <v>10</v>
      </c>
      <c r="B75" s="1" t="s">
        <v>11</v>
      </c>
      <c r="C75" s="1" t="s">
        <v>89</v>
      </c>
      <c r="D75" s="1">
        <v>1</v>
      </c>
      <c r="E75" s="1">
        <v>10</v>
      </c>
      <c r="F75" s="1">
        <v>3000</v>
      </c>
      <c r="G75" s="1">
        <v>1.5</v>
      </c>
      <c r="H75" s="1">
        <v>6.9</v>
      </c>
      <c r="I75" s="106">
        <v>5</v>
      </c>
      <c r="J75" s="108">
        <v>2</v>
      </c>
      <c r="L75" s="1"/>
      <c r="M75" s="1"/>
      <c r="N75" s="1"/>
      <c r="O75" s="1"/>
      <c r="P75" s="1"/>
      <c r="Q75" s="1"/>
    </row>
    <row r="76" spans="1:17" ht="15.75" thickBot="1">
      <c r="A76" s="1" t="s">
        <v>10</v>
      </c>
      <c r="B76" s="1" t="s">
        <v>27</v>
      </c>
      <c r="C76" s="1" t="s">
        <v>90</v>
      </c>
      <c r="D76" s="1">
        <v>3</v>
      </c>
      <c r="E76" s="1">
        <v>21</v>
      </c>
      <c r="F76" s="1">
        <v>3000</v>
      </c>
      <c r="G76" s="1">
        <v>5</v>
      </c>
      <c r="H76" s="1">
        <v>5.4</v>
      </c>
      <c r="I76" s="106">
        <v>5</v>
      </c>
      <c r="J76" s="108">
        <v>3</v>
      </c>
      <c r="L76" s="1"/>
      <c r="M76" s="1"/>
      <c r="N76" s="1"/>
      <c r="O76" s="1"/>
      <c r="P76" s="1"/>
      <c r="Q76" s="1"/>
    </row>
    <row r="77" spans="1:17" ht="15.75" thickBot="1">
      <c r="A77" s="1" t="s">
        <v>26</v>
      </c>
      <c r="B77" s="1" t="s">
        <v>27</v>
      </c>
      <c r="C77" s="1" t="s">
        <v>91</v>
      </c>
      <c r="D77" s="1">
        <v>5</v>
      </c>
      <c r="E77" s="1">
        <v>31</v>
      </c>
      <c r="F77" s="1">
        <v>4000</v>
      </c>
      <c r="G77" s="1">
        <v>3.5</v>
      </c>
      <c r="H77" s="1">
        <v>6.8</v>
      </c>
      <c r="I77" s="106">
        <v>3.8</v>
      </c>
      <c r="J77" s="108">
        <v>3</v>
      </c>
      <c r="L77" s="1"/>
      <c r="M77" s="1"/>
      <c r="N77" s="1"/>
      <c r="O77" s="1"/>
      <c r="P77" s="1"/>
      <c r="Q77" s="1"/>
    </row>
    <row r="78" spans="1:17" ht="15.75" thickBot="1">
      <c r="A78" s="1" t="s">
        <v>18</v>
      </c>
      <c r="B78" s="1" t="s">
        <v>11</v>
      </c>
      <c r="C78" s="1" t="s">
        <v>92</v>
      </c>
      <c r="D78" s="1">
        <v>2</v>
      </c>
      <c r="E78" s="1">
        <v>9</v>
      </c>
      <c r="F78" s="1">
        <v>3500</v>
      </c>
      <c r="G78" s="1">
        <v>5</v>
      </c>
      <c r="H78" s="1">
        <v>6.8</v>
      </c>
      <c r="I78" s="106">
        <v>3.8</v>
      </c>
      <c r="J78" s="108">
        <v>4</v>
      </c>
      <c r="L78" s="1"/>
      <c r="M78" s="1"/>
      <c r="N78" s="1"/>
      <c r="O78" s="1"/>
      <c r="P78" s="1"/>
      <c r="Q78" s="1"/>
    </row>
    <row r="79" spans="1:17" ht="15.75" thickBot="1">
      <c r="A79" s="1" t="s">
        <v>10</v>
      </c>
      <c r="B79" s="1" t="s">
        <v>25</v>
      </c>
      <c r="C79" s="1" t="s">
        <v>93</v>
      </c>
      <c r="D79" s="1">
        <v>1</v>
      </c>
      <c r="E79" s="1">
        <v>30</v>
      </c>
      <c r="F79" s="1">
        <v>3500</v>
      </c>
      <c r="G79" s="1">
        <v>3</v>
      </c>
      <c r="H79" s="1">
        <v>6.9</v>
      </c>
      <c r="I79" s="106">
        <v>4.2</v>
      </c>
      <c r="J79" s="108">
        <v>2</v>
      </c>
      <c r="L79" s="1"/>
      <c r="M79" s="1"/>
      <c r="N79" s="1"/>
      <c r="O79" s="1"/>
      <c r="P79" s="1"/>
      <c r="Q79" s="1"/>
    </row>
    <row r="80" spans="1:17" ht="15.75" thickBot="1">
      <c r="A80" s="1" t="s">
        <v>15</v>
      </c>
      <c r="B80" s="1" t="s">
        <v>13</v>
      </c>
      <c r="C80" s="1" t="s">
        <v>94</v>
      </c>
      <c r="D80" s="1">
        <v>1</v>
      </c>
      <c r="E80" s="1">
        <v>13</v>
      </c>
      <c r="F80" s="1">
        <v>4500</v>
      </c>
      <c r="G80" s="1">
        <v>4</v>
      </c>
      <c r="H80" s="1">
        <v>5.5</v>
      </c>
      <c r="I80" s="106">
        <v>4.2</v>
      </c>
      <c r="J80" s="108">
        <v>2</v>
      </c>
      <c r="L80" s="1"/>
      <c r="M80" s="1"/>
      <c r="N80" s="1"/>
      <c r="O80" s="1"/>
      <c r="P80" s="1"/>
      <c r="Q80" s="1"/>
    </row>
    <row r="81" spans="1:17" ht="15.75" thickBot="1">
      <c r="A81" s="1" t="s">
        <v>26</v>
      </c>
      <c r="B81" s="1" t="s">
        <v>11</v>
      </c>
      <c r="C81" s="1" t="s">
        <v>95</v>
      </c>
      <c r="D81" s="1">
        <v>3</v>
      </c>
      <c r="E81" s="1">
        <v>18</v>
      </c>
      <c r="F81" s="1">
        <v>4000</v>
      </c>
      <c r="G81" s="1">
        <v>2.5</v>
      </c>
      <c r="H81" s="1">
        <v>5.4</v>
      </c>
      <c r="I81" s="106">
        <v>3.8</v>
      </c>
      <c r="J81" s="108">
        <v>3</v>
      </c>
      <c r="L81" s="1"/>
      <c r="M81" s="1"/>
      <c r="N81" s="1"/>
      <c r="O81" s="1"/>
      <c r="P81" s="1"/>
      <c r="Q81" s="1"/>
    </row>
    <row r="82" spans="1:17" ht="15.75" thickBot="1">
      <c r="A82" s="1" t="s">
        <v>15</v>
      </c>
      <c r="B82" s="1" t="s">
        <v>11</v>
      </c>
      <c r="C82" s="1" t="s">
        <v>96</v>
      </c>
      <c r="D82" s="1">
        <v>3</v>
      </c>
      <c r="E82" s="1">
        <v>12</v>
      </c>
      <c r="F82" s="1">
        <v>4000</v>
      </c>
      <c r="G82" s="1">
        <v>4</v>
      </c>
      <c r="H82" s="1">
        <v>5.7</v>
      </c>
      <c r="I82" s="106">
        <v>3.8</v>
      </c>
      <c r="J82" s="108">
        <v>1</v>
      </c>
      <c r="L82" s="1"/>
      <c r="M82" s="1"/>
      <c r="N82" s="1"/>
      <c r="O82" s="1"/>
      <c r="P82" s="1"/>
      <c r="Q82" s="1"/>
    </row>
    <row r="83" spans="1:17" ht="15.75" thickBot="1">
      <c r="A83" s="1" t="s">
        <v>10</v>
      </c>
      <c r="B83" s="1" t="s">
        <v>23</v>
      </c>
      <c r="C83" s="1" t="s">
        <v>97</v>
      </c>
      <c r="D83" s="1">
        <v>1</v>
      </c>
      <c r="E83" s="1">
        <v>5</v>
      </c>
      <c r="F83" s="1">
        <v>3500</v>
      </c>
      <c r="G83" s="1">
        <v>3</v>
      </c>
      <c r="H83" s="1">
        <v>5.4</v>
      </c>
      <c r="I83" s="106">
        <v>4.2</v>
      </c>
      <c r="J83" s="108">
        <v>2</v>
      </c>
      <c r="L83" s="1"/>
      <c r="M83" s="1"/>
      <c r="N83" s="1"/>
      <c r="O83" s="1"/>
      <c r="P83" s="1"/>
      <c r="Q83" s="1"/>
    </row>
    <row r="84" spans="1:17" ht="15.75" thickBot="1">
      <c r="A84" s="1" t="s">
        <v>10</v>
      </c>
      <c r="B84" s="1" t="s">
        <v>11</v>
      </c>
      <c r="C84" s="1" t="s">
        <v>98</v>
      </c>
      <c r="D84" s="1">
        <v>2</v>
      </c>
      <c r="E84" s="1">
        <v>17</v>
      </c>
      <c r="F84" s="1">
        <v>4500</v>
      </c>
      <c r="G84" s="1">
        <v>1</v>
      </c>
      <c r="H84" s="1">
        <v>5.9</v>
      </c>
      <c r="I84" s="106">
        <v>4.2</v>
      </c>
      <c r="J84" s="108">
        <v>2</v>
      </c>
      <c r="L84" s="1"/>
      <c r="M84" s="1"/>
      <c r="N84" s="1"/>
      <c r="O84" s="1"/>
      <c r="P84" s="1"/>
      <c r="Q84" s="1"/>
    </row>
    <row r="85" spans="1:17" ht="15.75" thickBot="1">
      <c r="A85" s="1" t="s">
        <v>26</v>
      </c>
      <c r="B85" s="1" t="s">
        <v>16</v>
      </c>
      <c r="C85" s="1" t="s">
        <v>99</v>
      </c>
      <c r="D85" s="1">
        <v>1</v>
      </c>
      <c r="E85" s="1">
        <v>19</v>
      </c>
      <c r="F85" s="1">
        <v>4000</v>
      </c>
      <c r="G85" s="1">
        <v>3</v>
      </c>
      <c r="H85" s="1">
        <v>5.9</v>
      </c>
      <c r="I85" s="106">
        <v>5</v>
      </c>
      <c r="J85" s="108">
        <v>3</v>
      </c>
      <c r="L85" s="1"/>
      <c r="M85" s="1"/>
      <c r="N85" s="1"/>
      <c r="O85" s="1"/>
      <c r="P85" s="1"/>
      <c r="Q85" s="1"/>
    </row>
    <row r="86" spans="1:17" ht="15.75" thickBot="1">
      <c r="A86" s="1" t="s">
        <v>18</v>
      </c>
      <c r="B86" s="1" t="s">
        <v>16</v>
      </c>
      <c r="C86" s="1" t="s">
        <v>100</v>
      </c>
      <c r="D86" s="1">
        <v>1</v>
      </c>
      <c r="E86" s="1">
        <v>31</v>
      </c>
      <c r="F86" s="1">
        <v>3500</v>
      </c>
      <c r="G86" s="1">
        <v>3.5</v>
      </c>
      <c r="H86" s="1">
        <v>5.9</v>
      </c>
      <c r="I86" s="106">
        <v>4.2</v>
      </c>
      <c r="J86" s="107">
        <v>1</v>
      </c>
      <c r="L86" s="1"/>
      <c r="M86" s="1"/>
      <c r="N86" s="1"/>
      <c r="O86" s="1"/>
      <c r="P86" s="1"/>
      <c r="Q86" s="1"/>
    </row>
    <row r="87" spans="1:17" ht="15.75" thickBot="1">
      <c r="A87" s="1" t="s">
        <v>26</v>
      </c>
      <c r="B87" s="1" t="s">
        <v>16</v>
      </c>
      <c r="C87" s="1" t="s">
        <v>101</v>
      </c>
      <c r="D87" s="1">
        <v>1</v>
      </c>
      <c r="E87" s="1">
        <v>7</v>
      </c>
      <c r="F87" s="1">
        <v>4500</v>
      </c>
      <c r="G87" s="1">
        <v>5</v>
      </c>
      <c r="H87" s="1">
        <v>6.8</v>
      </c>
      <c r="I87" s="106">
        <v>5</v>
      </c>
      <c r="J87" s="108">
        <v>1</v>
      </c>
      <c r="L87" s="1"/>
      <c r="M87" s="1"/>
      <c r="N87" s="1"/>
      <c r="O87" s="1"/>
      <c r="P87" s="1"/>
      <c r="Q87" s="1"/>
    </row>
    <row r="88" spans="1:17" ht="15.75" thickBot="1">
      <c r="A88" s="1" t="s">
        <v>20</v>
      </c>
      <c r="B88" s="1" t="s">
        <v>16</v>
      </c>
      <c r="C88" s="1" t="s">
        <v>102</v>
      </c>
      <c r="D88" s="1">
        <v>1</v>
      </c>
      <c r="E88" s="1">
        <v>26</v>
      </c>
      <c r="F88" s="1">
        <v>3000</v>
      </c>
      <c r="G88" s="1">
        <v>4</v>
      </c>
      <c r="H88" s="1">
        <v>6.9</v>
      </c>
      <c r="I88" s="106">
        <v>4.2</v>
      </c>
      <c r="J88" s="108">
        <v>2</v>
      </c>
      <c r="L88" s="1"/>
      <c r="M88" s="1"/>
      <c r="N88" s="1"/>
      <c r="O88" s="1"/>
      <c r="P88" s="1"/>
      <c r="Q88" s="1"/>
    </row>
    <row r="89" spans="1:17" ht="15.75" thickBot="1">
      <c r="A89" s="1" t="s">
        <v>20</v>
      </c>
      <c r="B89" s="1" t="s">
        <v>27</v>
      </c>
      <c r="C89" s="1" t="s">
        <v>103</v>
      </c>
      <c r="D89" s="1">
        <v>1</v>
      </c>
      <c r="E89" s="1">
        <v>12</v>
      </c>
      <c r="F89" s="1">
        <v>4000</v>
      </c>
      <c r="G89" s="1">
        <v>3.5</v>
      </c>
      <c r="H89" s="1">
        <v>5.2</v>
      </c>
      <c r="I89" s="106">
        <v>3.8</v>
      </c>
      <c r="J89" s="108">
        <v>3</v>
      </c>
      <c r="L89" s="1"/>
      <c r="M89" s="1"/>
      <c r="N89" s="1"/>
      <c r="O89" s="1"/>
      <c r="P89" s="1"/>
      <c r="Q89" s="1"/>
    </row>
    <row r="90" spans="1:17" ht="15.75" thickBot="1">
      <c r="A90" s="1" t="s">
        <v>26</v>
      </c>
      <c r="B90" s="1" t="s">
        <v>25</v>
      </c>
      <c r="C90" s="1" t="s">
        <v>104</v>
      </c>
      <c r="D90" s="1">
        <v>2</v>
      </c>
      <c r="E90" s="1">
        <v>6</v>
      </c>
      <c r="F90" s="1">
        <v>4000</v>
      </c>
      <c r="G90" s="1">
        <v>3.5</v>
      </c>
      <c r="H90" s="1">
        <v>7</v>
      </c>
      <c r="I90" s="106">
        <v>3.8</v>
      </c>
      <c r="J90" s="108">
        <v>4</v>
      </c>
      <c r="L90" s="1"/>
      <c r="M90" s="1"/>
      <c r="N90" s="1"/>
      <c r="O90" s="1"/>
      <c r="P90" s="1"/>
      <c r="Q90" s="1"/>
    </row>
    <row r="91" spans="1:17" ht="15.75" thickBot="1">
      <c r="A91" s="1" t="s">
        <v>10</v>
      </c>
      <c r="B91" s="1" t="s">
        <v>25</v>
      </c>
      <c r="C91" s="1" t="s">
        <v>105</v>
      </c>
      <c r="D91" s="1">
        <v>1</v>
      </c>
      <c r="E91" s="1">
        <v>16</v>
      </c>
      <c r="F91" s="1">
        <v>4000</v>
      </c>
      <c r="G91" s="1">
        <v>3</v>
      </c>
      <c r="H91" s="1">
        <v>5.2</v>
      </c>
      <c r="I91" s="106">
        <v>4.2</v>
      </c>
      <c r="J91" s="108">
        <v>2</v>
      </c>
      <c r="L91" s="1"/>
      <c r="M91" s="1"/>
      <c r="N91" s="1"/>
      <c r="O91" s="1"/>
      <c r="P91" s="1"/>
      <c r="Q91" s="1"/>
    </row>
    <row r="92" spans="1:17" ht="15.75" thickBot="1">
      <c r="A92" s="1" t="s">
        <v>20</v>
      </c>
      <c r="B92" s="1" t="s">
        <v>25</v>
      </c>
      <c r="C92" s="1" t="s">
        <v>106</v>
      </c>
      <c r="D92" s="1">
        <v>4</v>
      </c>
      <c r="E92" s="1">
        <v>22</v>
      </c>
      <c r="F92" s="1">
        <v>4500</v>
      </c>
      <c r="G92" s="1">
        <v>3.5</v>
      </c>
      <c r="H92" s="1">
        <v>4.7</v>
      </c>
      <c r="I92" s="106">
        <v>5</v>
      </c>
      <c r="J92" s="109">
        <v>2</v>
      </c>
      <c r="L92" s="1"/>
      <c r="M92" s="1"/>
      <c r="N92" s="1"/>
      <c r="O92" s="1"/>
      <c r="P92" s="1"/>
      <c r="Q92" s="1"/>
    </row>
    <row r="93" spans="1:17" ht="15.75" thickBot="1">
      <c r="A93" s="1" t="s">
        <v>10</v>
      </c>
      <c r="B93" s="1" t="s">
        <v>25</v>
      </c>
      <c r="C93" s="1" t="s">
        <v>107</v>
      </c>
      <c r="D93" s="1">
        <v>3</v>
      </c>
      <c r="E93" s="1">
        <v>17</v>
      </c>
      <c r="F93" s="1">
        <v>4500</v>
      </c>
      <c r="G93" s="1">
        <v>3.5</v>
      </c>
      <c r="H93" s="1">
        <v>4.7</v>
      </c>
      <c r="I93" s="106">
        <v>5</v>
      </c>
      <c r="J93" s="108">
        <v>3</v>
      </c>
      <c r="L93" s="1"/>
      <c r="M93" s="1"/>
      <c r="N93" s="1"/>
      <c r="O93" s="1"/>
      <c r="P93" s="1"/>
      <c r="Q93" s="1"/>
    </row>
    <row r="94" spans="1:17" ht="15.75" thickBot="1">
      <c r="A94" s="1" t="s">
        <v>15</v>
      </c>
      <c r="B94" s="1" t="s">
        <v>13</v>
      </c>
      <c r="C94" s="1" t="s">
        <v>108</v>
      </c>
      <c r="D94" s="1">
        <v>3</v>
      </c>
      <c r="E94" s="1">
        <v>26</v>
      </c>
      <c r="F94" s="1">
        <v>3300</v>
      </c>
      <c r="G94" s="1">
        <v>3</v>
      </c>
      <c r="H94" s="1">
        <v>5.8</v>
      </c>
      <c r="I94" s="106">
        <v>5</v>
      </c>
      <c r="J94" s="108">
        <v>1</v>
      </c>
      <c r="L94" s="1"/>
      <c r="M94" s="1"/>
      <c r="N94" s="1"/>
      <c r="O94" s="1"/>
      <c r="P94" s="1"/>
      <c r="Q94" s="1"/>
    </row>
    <row r="95" spans="1:17" ht="15.75" thickBot="1">
      <c r="A95" s="1" t="s">
        <v>26</v>
      </c>
      <c r="B95" s="1" t="s">
        <v>13</v>
      </c>
      <c r="C95" s="1" t="s">
        <v>109</v>
      </c>
      <c r="D95" s="1">
        <v>5</v>
      </c>
      <c r="E95" s="1">
        <v>22</v>
      </c>
      <c r="F95" s="1">
        <v>3500</v>
      </c>
      <c r="G95" s="1">
        <v>4.5</v>
      </c>
      <c r="H95" s="1">
        <v>6.6</v>
      </c>
      <c r="I95" s="106">
        <v>5</v>
      </c>
      <c r="J95" s="108">
        <v>4</v>
      </c>
      <c r="L95" s="1"/>
      <c r="M95" s="1"/>
      <c r="N95" s="1"/>
      <c r="O95" s="1"/>
      <c r="P95" s="1"/>
      <c r="Q95" s="1"/>
    </row>
    <row r="96" spans="1:17" ht="15.75" thickBot="1">
      <c r="A96" s="1" t="s">
        <v>20</v>
      </c>
      <c r="B96" s="1" t="s">
        <v>27</v>
      </c>
      <c r="C96" s="1" t="s">
        <v>110</v>
      </c>
      <c r="D96" s="1">
        <v>1</v>
      </c>
      <c r="E96" s="1">
        <v>31</v>
      </c>
      <c r="F96" s="1">
        <v>4000</v>
      </c>
      <c r="G96" s="1">
        <v>3</v>
      </c>
      <c r="H96" s="1">
        <v>5.8</v>
      </c>
      <c r="I96" s="106">
        <v>4.2</v>
      </c>
      <c r="J96" s="107">
        <v>1</v>
      </c>
      <c r="L96" s="1"/>
      <c r="M96" s="1"/>
      <c r="N96" s="1"/>
      <c r="O96" s="1"/>
      <c r="P96" s="1"/>
      <c r="Q96" s="1"/>
    </row>
    <row r="97" spans="1:17" ht="15.75" thickBot="1">
      <c r="A97" s="1" t="s">
        <v>10</v>
      </c>
      <c r="B97" s="1" t="s">
        <v>13</v>
      </c>
      <c r="C97" s="1" t="s">
        <v>111</v>
      </c>
      <c r="D97" s="1">
        <v>1</v>
      </c>
      <c r="E97" s="1">
        <v>6</v>
      </c>
      <c r="F97" s="1">
        <v>3300</v>
      </c>
      <c r="G97" s="1">
        <v>5</v>
      </c>
      <c r="H97" s="1">
        <v>6.8</v>
      </c>
      <c r="I97" s="106">
        <v>5</v>
      </c>
      <c r="J97" s="108">
        <v>1</v>
      </c>
      <c r="L97" s="1"/>
      <c r="M97" s="1"/>
      <c r="N97" s="1"/>
      <c r="O97" s="1"/>
      <c r="P97" s="1"/>
      <c r="Q97" s="1"/>
    </row>
    <row r="98" spans="1:17" ht="15.75" thickBot="1">
      <c r="A98" s="1" t="s">
        <v>20</v>
      </c>
      <c r="B98" s="1" t="s">
        <v>27</v>
      </c>
      <c r="C98" s="1" t="s">
        <v>112</v>
      </c>
      <c r="D98" s="1">
        <v>3</v>
      </c>
      <c r="E98" s="1">
        <v>24</v>
      </c>
      <c r="F98" s="1">
        <v>3500</v>
      </c>
      <c r="G98" s="1">
        <v>4</v>
      </c>
      <c r="H98" s="1">
        <v>5.7</v>
      </c>
      <c r="I98" s="106">
        <v>5</v>
      </c>
      <c r="J98" s="108">
        <v>3</v>
      </c>
      <c r="L98" s="1"/>
      <c r="M98" s="1"/>
      <c r="N98" s="1"/>
      <c r="O98" s="1"/>
      <c r="P98" s="1"/>
      <c r="Q98" s="1"/>
    </row>
    <row r="99" spans="1:17" ht="15.75" thickBot="1">
      <c r="A99" s="1" t="s">
        <v>20</v>
      </c>
      <c r="B99" s="1" t="s">
        <v>13</v>
      </c>
      <c r="C99" s="1" t="s">
        <v>113</v>
      </c>
      <c r="D99" s="1">
        <v>3</v>
      </c>
      <c r="E99" s="1">
        <v>5</v>
      </c>
      <c r="F99" s="1">
        <v>4000</v>
      </c>
      <c r="G99" s="1">
        <v>1.5</v>
      </c>
      <c r="H99" s="1">
        <v>4.5</v>
      </c>
      <c r="I99" s="106">
        <v>3.8</v>
      </c>
      <c r="J99" s="108">
        <v>1</v>
      </c>
      <c r="L99" s="1"/>
      <c r="M99" s="1"/>
      <c r="N99" s="1"/>
      <c r="O99" s="1"/>
      <c r="P99" s="1"/>
      <c r="Q99" s="1"/>
    </row>
    <row r="100" spans="1:17" ht="15.75" thickBot="1">
      <c r="A100" s="1" t="s">
        <v>18</v>
      </c>
      <c r="B100" s="1" t="s">
        <v>16</v>
      </c>
      <c r="C100" s="1" t="s">
        <v>114</v>
      </c>
      <c r="D100" s="1">
        <v>1</v>
      </c>
      <c r="E100" s="1">
        <v>12</v>
      </c>
      <c r="F100" s="1">
        <v>4500</v>
      </c>
      <c r="G100" s="1">
        <v>1</v>
      </c>
      <c r="H100" s="1">
        <v>5.0999999999999996</v>
      </c>
      <c r="I100" s="106">
        <v>4.2</v>
      </c>
      <c r="J100" s="108">
        <v>1</v>
      </c>
      <c r="L100" s="1"/>
      <c r="M100" s="1"/>
      <c r="N100" s="1"/>
      <c r="O100" s="1"/>
      <c r="P100" s="1"/>
      <c r="Q100" s="1"/>
    </row>
    <row r="101" spans="1:17" ht="15.75" thickBot="1">
      <c r="A101" s="1" t="s">
        <v>10</v>
      </c>
      <c r="B101" s="1" t="s">
        <v>13</v>
      </c>
      <c r="C101" s="1" t="s">
        <v>115</v>
      </c>
      <c r="D101" s="1">
        <v>1</v>
      </c>
      <c r="E101" s="1">
        <v>5</v>
      </c>
      <c r="F101" s="1">
        <v>3300</v>
      </c>
      <c r="G101" s="1">
        <v>3</v>
      </c>
      <c r="H101" s="1">
        <v>5.8</v>
      </c>
      <c r="I101" s="106">
        <v>5</v>
      </c>
      <c r="J101" s="108">
        <v>1</v>
      </c>
      <c r="L101" s="1"/>
      <c r="M101" s="1"/>
      <c r="N101" s="1"/>
      <c r="O101" s="1"/>
      <c r="P101" s="1"/>
      <c r="Q101" s="1"/>
    </row>
    <row r="102" spans="1:17" ht="15.75" thickBot="1">
      <c r="A102" s="1" t="s">
        <v>20</v>
      </c>
      <c r="B102" s="1" t="s">
        <v>11</v>
      </c>
      <c r="C102" s="1" t="s">
        <v>116</v>
      </c>
      <c r="D102" s="1">
        <v>2</v>
      </c>
      <c r="E102" s="1">
        <v>18</v>
      </c>
      <c r="F102" s="1">
        <v>4000</v>
      </c>
      <c r="G102" s="1">
        <v>2</v>
      </c>
      <c r="H102" s="1">
        <v>6.3</v>
      </c>
      <c r="I102" s="106">
        <v>4.2</v>
      </c>
      <c r="J102" s="108">
        <v>3</v>
      </c>
      <c r="L102" s="1"/>
      <c r="M102" s="1"/>
      <c r="N102" s="1"/>
      <c r="O102" s="1"/>
      <c r="P102" s="1"/>
      <c r="Q102" s="1"/>
    </row>
    <row r="103" spans="1:17" ht="15.75" thickBot="1">
      <c r="A103" s="1" t="s">
        <v>20</v>
      </c>
      <c r="B103" s="1" t="s">
        <v>25</v>
      </c>
      <c r="C103" s="1" t="s">
        <v>117</v>
      </c>
      <c r="D103" s="1">
        <v>1</v>
      </c>
      <c r="E103" s="1">
        <v>21</v>
      </c>
      <c r="F103" s="1">
        <v>3500</v>
      </c>
      <c r="G103" s="1">
        <v>1</v>
      </c>
      <c r="H103" s="1">
        <v>6.8</v>
      </c>
      <c r="I103" s="106">
        <v>5</v>
      </c>
      <c r="J103" s="109">
        <v>4</v>
      </c>
      <c r="L103" s="1"/>
      <c r="M103" s="1"/>
      <c r="N103" s="1"/>
      <c r="O103" s="1"/>
      <c r="P103" s="1"/>
      <c r="Q103" s="1"/>
    </row>
    <row r="104" spans="1:17" ht="15.75" thickBot="1">
      <c r="A104" s="1" t="s">
        <v>18</v>
      </c>
      <c r="B104" s="1" t="s">
        <v>23</v>
      </c>
      <c r="C104" s="1" t="s">
        <v>118</v>
      </c>
      <c r="D104" s="1">
        <v>5</v>
      </c>
      <c r="E104" s="1">
        <v>33</v>
      </c>
      <c r="F104" s="1">
        <v>4500</v>
      </c>
      <c r="G104" s="1">
        <v>3.5</v>
      </c>
      <c r="H104" s="1">
        <v>5.4</v>
      </c>
      <c r="I104" s="106">
        <v>4.2</v>
      </c>
      <c r="J104" s="108">
        <v>2</v>
      </c>
      <c r="L104" s="1"/>
      <c r="M104" s="1"/>
      <c r="N104" s="1"/>
      <c r="O104" s="1"/>
      <c r="P104" s="1"/>
      <c r="Q104" s="1"/>
    </row>
    <row r="105" spans="1:17" ht="15.75" thickBot="1">
      <c r="A105" s="1" t="s">
        <v>20</v>
      </c>
      <c r="B105" s="1" t="s">
        <v>11</v>
      </c>
      <c r="C105" s="1" t="s">
        <v>119</v>
      </c>
      <c r="D105" s="1">
        <v>2</v>
      </c>
      <c r="E105" s="1">
        <v>23</v>
      </c>
      <c r="F105" s="1">
        <v>3500</v>
      </c>
      <c r="G105" s="1">
        <v>1</v>
      </c>
      <c r="H105" s="1">
        <v>6</v>
      </c>
      <c r="I105" s="106">
        <v>5</v>
      </c>
      <c r="J105" s="108">
        <v>1</v>
      </c>
      <c r="L105" s="1"/>
      <c r="M105" s="1"/>
      <c r="N105" s="1"/>
      <c r="O105" s="1"/>
      <c r="P105" s="1"/>
      <c r="Q105" s="1"/>
    </row>
    <row r="106" spans="1:17" ht="15.75" thickBot="1">
      <c r="A106" s="1" t="s">
        <v>18</v>
      </c>
      <c r="B106" s="1" t="s">
        <v>13</v>
      </c>
      <c r="C106" s="1" t="s">
        <v>120</v>
      </c>
      <c r="D106" s="1">
        <v>5</v>
      </c>
      <c r="E106" s="1">
        <v>33</v>
      </c>
      <c r="F106" s="1">
        <v>3300</v>
      </c>
      <c r="G106" s="1">
        <v>2</v>
      </c>
      <c r="H106" s="1">
        <v>4.5</v>
      </c>
      <c r="I106" s="106">
        <v>5</v>
      </c>
      <c r="J106" s="108">
        <v>1</v>
      </c>
      <c r="L106" s="1"/>
      <c r="M106" s="1"/>
      <c r="N106" s="1"/>
      <c r="O106" s="1"/>
      <c r="P106" s="1"/>
      <c r="Q106" s="1"/>
    </row>
    <row r="107" spans="1:17" ht="15.75" thickBot="1">
      <c r="A107" s="1" t="s">
        <v>26</v>
      </c>
      <c r="B107" s="1" t="s">
        <v>25</v>
      </c>
      <c r="C107" s="1" t="s">
        <v>121</v>
      </c>
      <c r="D107" s="1">
        <v>5</v>
      </c>
      <c r="E107" s="1">
        <v>24</v>
      </c>
      <c r="F107" s="1">
        <v>4500</v>
      </c>
      <c r="G107" s="1">
        <v>2.5</v>
      </c>
      <c r="H107" s="1">
        <v>4.5</v>
      </c>
      <c r="I107" s="106">
        <v>4.2</v>
      </c>
      <c r="J107" s="108">
        <v>2</v>
      </c>
      <c r="L107" s="1"/>
      <c r="M107" s="1"/>
      <c r="N107" s="1"/>
      <c r="O107" s="1"/>
      <c r="P107" s="1"/>
      <c r="Q107" s="1"/>
    </row>
    <row r="108" spans="1:17" ht="15.75" thickBot="1">
      <c r="A108" s="1" t="s">
        <v>15</v>
      </c>
      <c r="B108" s="1" t="s">
        <v>11</v>
      </c>
      <c r="C108" s="1" t="s">
        <v>122</v>
      </c>
      <c r="D108" s="1">
        <v>1</v>
      </c>
      <c r="E108" s="1">
        <v>12</v>
      </c>
      <c r="F108" s="1">
        <v>3500</v>
      </c>
      <c r="G108" s="1">
        <v>4</v>
      </c>
      <c r="H108" s="1">
        <v>4.7</v>
      </c>
      <c r="I108" s="106">
        <v>4.2</v>
      </c>
      <c r="J108" s="108">
        <v>2</v>
      </c>
      <c r="L108" s="1"/>
      <c r="M108" s="1"/>
      <c r="N108" s="1"/>
      <c r="O108" s="1"/>
      <c r="P108" s="1"/>
      <c r="Q108" s="1"/>
    </row>
    <row r="109" spans="1:17" ht="15.75" thickBot="1">
      <c r="A109" s="1" t="s">
        <v>15</v>
      </c>
      <c r="B109" s="1" t="s">
        <v>13</v>
      </c>
      <c r="C109" s="1" t="s">
        <v>123</v>
      </c>
      <c r="D109" s="1">
        <v>2</v>
      </c>
      <c r="E109" s="1">
        <v>1</v>
      </c>
      <c r="F109" s="1">
        <v>4000</v>
      </c>
      <c r="G109" s="1">
        <v>4.5</v>
      </c>
      <c r="H109" s="1">
        <v>4.5</v>
      </c>
      <c r="I109" s="106">
        <v>3.8</v>
      </c>
      <c r="J109" s="108">
        <v>3</v>
      </c>
      <c r="L109" s="1"/>
      <c r="M109" s="1"/>
      <c r="N109" s="1"/>
      <c r="O109" s="1"/>
      <c r="P109" s="1"/>
      <c r="Q109" s="1"/>
    </row>
    <row r="110" spans="1:17" ht="15.75" thickBot="1">
      <c r="A110" s="1" t="s">
        <v>26</v>
      </c>
      <c r="B110" s="1" t="s">
        <v>16</v>
      </c>
      <c r="C110" s="1" t="s">
        <v>124</v>
      </c>
      <c r="D110" s="1">
        <v>2</v>
      </c>
      <c r="E110" s="1">
        <v>31</v>
      </c>
      <c r="F110" s="1">
        <v>3300</v>
      </c>
      <c r="G110" s="1">
        <v>1</v>
      </c>
      <c r="H110" s="1">
        <v>5.2</v>
      </c>
      <c r="I110" s="106">
        <v>4.2</v>
      </c>
      <c r="J110" s="108">
        <v>2</v>
      </c>
      <c r="L110" s="1"/>
      <c r="M110" s="1"/>
      <c r="N110" s="1"/>
      <c r="O110" s="1"/>
      <c r="P110" s="1"/>
      <c r="Q110" s="1"/>
    </row>
    <row r="111" spans="1:17" ht="15.75" thickBot="1">
      <c r="A111" s="1" t="s">
        <v>26</v>
      </c>
      <c r="B111" s="1" t="s">
        <v>25</v>
      </c>
      <c r="C111" s="1" t="s">
        <v>125</v>
      </c>
      <c r="D111" s="1">
        <v>5</v>
      </c>
      <c r="E111" s="1">
        <v>5</v>
      </c>
      <c r="F111" s="1">
        <v>3500</v>
      </c>
      <c r="G111" s="1">
        <v>5</v>
      </c>
      <c r="H111" s="1">
        <v>5.4</v>
      </c>
      <c r="I111" s="106">
        <v>4.2</v>
      </c>
      <c r="J111" s="108">
        <v>3</v>
      </c>
      <c r="L111" s="1"/>
      <c r="M111" s="1"/>
      <c r="N111" s="1"/>
      <c r="O111" s="1"/>
      <c r="P111" s="1"/>
      <c r="Q111" s="1"/>
    </row>
    <row r="112" spans="1:17" ht="15.75" thickBot="1">
      <c r="A112" s="1" t="s">
        <v>15</v>
      </c>
      <c r="B112" s="1" t="s">
        <v>16</v>
      </c>
      <c r="C112" s="1" t="s">
        <v>126</v>
      </c>
      <c r="D112" s="1">
        <v>2</v>
      </c>
      <c r="E112" s="1">
        <v>31</v>
      </c>
      <c r="F112" s="1">
        <v>3500</v>
      </c>
      <c r="G112" s="1">
        <v>2.5</v>
      </c>
      <c r="H112" s="1">
        <v>5.8</v>
      </c>
      <c r="I112" s="106">
        <v>5</v>
      </c>
      <c r="J112" s="108">
        <v>1</v>
      </c>
      <c r="L112" s="1"/>
      <c r="M112" s="1"/>
      <c r="N112" s="1"/>
      <c r="O112" s="1"/>
      <c r="P112" s="1"/>
      <c r="Q112" s="1"/>
    </row>
    <row r="113" spans="1:17" ht="15.75" thickBot="1">
      <c r="A113" s="1" t="s">
        <v>10</v>
      </c>
      <c r="B113" s="1" t="s">
        <v>25</v>
      </c>
      <c r="C113" s="1" t="s">
        <v>127</v>
      </c>
      <c r="D113" s="1">
        <v>1</v>
      </c>
      <c r="E113" s="1">
        <v>22</v>
      </c>
      <c r="F113" s="1">
        <v>4000</v>
      </c>
      <c r="G113" s="1">
        <v>4.5</v>
      </c>
      <c r="H113" s="1">
        <v>6.8</v>
      </c>
      <c r="I113" s="106">
        <v>5</v>
      </c>
      <c r="J113" s="108">
        <v>4</v>
      </c>
      <c r="L113" s="1"/>
      <c r="M113" s="1"/>
      <c r="N113" s="1"/>
      <c r="O113" s="1"/>
      <c r="P113" s="1"/>
      <c r="Q113" s="1"/>
    </row>
    <row r="114" spans="1:17" ht="15.75" thickBot="1">
      <c r="A114" s="1" t="s">
        <v>10</v>
      </c>
      <c r="B114" s="1" t="s">
        <v>27</v>
      </c>
      <c r="C114" s="1" t="s">
        <v>128</v>
      </c>
      <c r="D114" s="1">
        <v>1</v>
      </c>
      <c r="E114" s="1">
        <v>21</v>
      </c>
      <c r="F114" s="1">
        <v>4500</v>
      </c>
      <c r="G114" s="1">
        <v>4</v>
      </c>
      <c r="H114" s="1">
        <v>5.2</v>
      </c>
      <c r="I114" s="106">
        <v>4.2</v>
      </c>
      <c r="J114" s="108">
        <v>2</v>
      </c>
      <c r="L114" s="1"/>
      <c r="M114" s="1"/>
      <c r="N114" s="1"/>
      <c r="O114" s="1"/>
      <c r="P114" s="1"/>
      <c r="Q114" s="1"/>
    </row>
    <row r="115" spans="1:17" ht="15.75" thickBot="1">
      <c r="A115" s="1" t="s">
        <v>20</v>
      </c>
      <c r="B115" s="1" t="s">
        <v>25</v>
      </c>
      <c r="C115" s="1" t="s">
        <v>129</v>
      </c>
      <c r="D115" s="1">
        <v>2</v>
      </c>
      <c r="E115" s="1">
        <v>22</v>
      </c>
      <c r="F115" s="1">
        <v>4500</v>
      </c>
      <c r="G115" s="1">
        <v>5</v>
      </c>
      <c r="H115" s="1">
        <v>5.4</v>
      </c>
      <c r="I115" s="106">
        <v>5</v>
      </c>
      <c r="J115" s="108">
        <v>4</v>
      </c>
      <c r="L115" s="1"/>
      <c r="M115" s="1"/>
      <c r="N115" s="1"/>
      <c r="O115" s="1"/>
      <c r="P115" s="1"/>
      <c r="Q115" s="1"/>
    </row>
    <row r="116" spans="1:17" ht="15.75" thickBot="1">
      <c r="A116" s="1" t="s">
        <v>26</v>
      </c>
      <c r="B116" s="1" t="s">
        <v>27</v>
      </c>
      <c r="C116" s="1" t="s">
        <v>130</v>
      </c>
      <c r="D116" s="1">
        <v>4</v>
      </c>
      <c r="E116" s="1">
        <v>25</v>
      </c>
      <c r="F116" s="1">
        <v>3500</v>
      </c>
      <c r="G116" s="1">
        <v>2.5</v>
      </c>
      <c r="H116" s="1">
        <v>6.3</v>
      </c>
      <c r="I116" s="106">
        <v>3.8</v>
      </c>
      <c r="J116" s="108">
        <v>1</v>
      </c>
      <c r="L116" s="1"/>
      <c r="M116" s="1"/>
      <c r="N116" s="1"/>
      <c r="O116" s="1"/>
      <c r="P116" s="1"/>
      <c r="Q116" s="1"/>
    </row>
    <row r="117" spans="1:17" ht="15.75" thickBot="1">
      <c r="A117" s="1" t="s">
        <v>10</v>
      </c>
      <c r="B117" s="1" t="s">
        <v>25</v>
      </c>
      <c r="C117" s="1" t="s">
        <v>131</v>
      </c>
      <c r="D117" s="1">
        <v>2</v>
      </c>
      <c r="E117" s="1">
        <v>16</v>
      </c>
      <c r="F117" s="1">
        <v>4000</v>
      </c>
      <c r="G117" s="1">
        <v>3</v>
      </c>
      <c r="H117" s="1">
        <v>6.3</v>
      </c>
      <c r="I117" s="106">
        <v>4.2</v>
      </c>
      <c r="J117" s="108">
        <v>1</v>
      </c>
      <c r="L117" s="1"/>
      <c r="M117" s="1"/>
      <c r="N117" s="1"/>
      <c r="O117" s="1"/>
      <c r="P117" s="1"/>
      <c r="Q117" s="1"/>
    </row>
    <row r="118" spans="1:17" ht="15.75" thickBot="1">
      <c r="A118" s="1" t="s">
        <v>20</v>
      </c>
      <c r="B118" s="1" t="s">
        <v>25</v>
      </c>
      <c r="C118" s="1" t="s">
        <v>132</v>
      </c>
      <c r="D118" s="1">
        <v>1</v>
      </c>
      <c r="E118" s="1">
        <v>8</v>
      </c>
      <c r="F118" s="1">
        <v>3500</v>
      </c>
      <c r="G118" s="1">
        <v>3.5</v>
      </c>
      <c r="H118" s="1">
        <v>5.8</v>
      </c>
      <c r="I118" s="106">
        <v>5</v>
      </c>
      <c r="J118" s="108">
        <v>2</v>
      </c>
      <c r="L118" s="1"/>
      <c r="M118" s="1"/>
      <c r="N118" s="1"/>
      <c r="O118" s="1"/>
      <c r="P118" s="1"/>
      <c r="Q118" s="1"/>
    </row>
    <row r="119" spans="1:17" ht="15.75" thickBot="1">
      <c r="A119" s="1" t="s">
        <v>20</v>
      </c>
      <c r="B119" s="1" t="s">
        <v>27</v>
      </c>
      <c r="C119" s="1" t="s">
        <v>133</v>
      </c>
      <c r="D119" s="1">
        <v>2</v>
      </c>
      <c r="E119" s="1">
        <v>6</v>
      </c>
      <c r="F119" s="1">
        <v>4000</v>
      </c>
      <c r="G119" s="1">
        <v>5</v>
      </c>
      <c r="H119" s="1">
        <v>6.3</v>
      </c>
      <c r="I119" s="106">
        <v>5</v>
      </c>
      <c r="J119" s="108">
        <v>2</v>
      </c>
      <c r="L119" s="1"/>
      <c r="M119" s="1"/>
      <c r="N119" s="1"/>
      <c r="O119" s="1"/>
      <c r="P119" s="1"/>
      <c r="Q119" s="1"/>
    </row>
    <row r="120" spans="1:17" ht="15.75" thickBot="1">
      <c r="A120" s="1" t="s">
        <v>18</v>
      </c>
      <c r="B120" s="1" t="s">
        <v>16</v>
      </c>
      <c r="C120" s="1" t="s">
        <v>134</v>
      </c>
      <c r="D120" s="1">
        <v>5</v>
      </c>
      <c r="E120" s="1">
        <v>2</v>
      </c>
      <c r="F120" s="1">
        <v>4000</v>
      </c>
      <c r="G120" s="1">
        <v>1</v>
      </c>
      <c r="H120" s="1">
        <v>6.3</v>
      </c>
      <c r="I120" s="106">
        <v>5</v>
      </c>
      <c r="J120" s="108">
        <v>4</v>
      </c>
      <c r="L120" s="1"/>
      <c r="M120" s="1"/>
      <c r="N120" s="1"/>
      <c r="O120" s="1"/>
      <c r="P120" s="1"/>
      <c r="Q120" s="1"/>
    </row>
    <row r="121" spans="1:17" ht="15.75" thickBot="1">
      <c r="A121" s="1" t="s">
        <v>26</v>
      </c>
      <c r="B121" s="1" t="s">
        <v>13</v>
      </c>
      <c r="C121" s="1" t="s">
        <v>135</v>
      </c>
      <c r="D121" s="1">
        <v>2</v>
      </c>
      <c r="E121" s="1">
        <v>22</v>
      </c>
      <c r="F121" s="1">
        <v>4000</v>
      </c>
      <c r="G121" s="1">
        <v>4</v>
      </c>
      <c r="H121" s="1">
        <v>5.8</v>
      </c>
      <c r="I121" s="106">
        <v>4.2</v>
      </c>
      <c r="J121" s="108">
        <v>4</v>
      </c>
      <c r="L121" s="1"/>
      <c r="M121" s="1"/>
      <c r="N121" s="1"/>
      <c r="O121" s="1"/>
      <c r="P121" s="1"/>
      <c r="Q121" s="1"/>
    </row>
    <row r="122" spans="1:17" ht="15.75" thickBot="1">
      <c r="A122" s="1" t="s">
        <v>15</v>
      </c>
      <c r="B122" s="1" t="s">
        <v>23</v>
      </c>
      <c r="C122" s="1" t="s">
        <v>136</v>
      </c>
      <c r="D122" s="1">
        <v>2</v>
      </c>
      <c r="E122" s="1">
        <v>17</v>
      </c>
      <c r="F122" s="1">
        <v>3500</v>
      </c>
      <c r="G122" s="1">
        <v>2.5</v>
      </c>
      <c r="H122" s="1">
        <v>6.3</v>
      </c>
      <c r="I122" s="106">
        <v>5</v>
      </c>
      <c r="J122" s="108">
        <v>2</v>
      </c>
      <c r="L122" s="1"/>
      <c r="M122" s="1"/>
      <c r="N122" s="1"/>
      <c r="O122" s="1"/>
      <c r="P122" s="1"/>
      <c r="Q122" s="1"/>
    </row>
    <row r="123" spans="1:17" ht="15.75" thickBot="1">
      <c r="A123" s="1" t="s">
        <v>26</v>
      </c>
      <c r="B123" s="1" t="s">
        <v>16</v>
      </c>
      <c r="C123" s="1" t="s">
        <v>137</v>
      </c>
      <c r="D123" s="1">
        <v>3</v>
      </c>
      <c r="E123" s="1">
        <v>3</v>
      </c>
      <c r="F123" s="1">
        <v>4000</v>
      </c>
      <c r="G123" s="1">
        <v>3</v>
      </c>
      <c r="H123" s="1">
        <v>5.0999999999999996</v>
      </c>
      <c r="I123" s="106">
        <v>3.8</v>
      </c>
      <c r="J123" s="108">
        <v>4</v>
      </c>
      <c r="L123" s="1"/>
      <c r="M123" s="1"/>
      <c r="N123" s="1"/>
      <c r="O123" s="1"/>
      <c r="P123" s="1"/>
      <c r="Q123" s="1"/>
    </row>
    <row r="124" spans="1:17" ht="15.75" thickBot="1">
      <c r="A124" s="1" t="s">
        <v>15</v>
      </c>
      <c r="B124" s="1" t="s">
        <v>27</v>
      </c>
      <c r="C124" s="1" t="s">
        <v>138</v>
      </c>
      <c r="D124" s="1">
        <v>2</v>
      </c>
      <c r="E124" s="1">
        <v>32</v>
      </c>
      <c r="F124" s="1">
        <v>4000</v>
      </c>
      <c r="G124" s="1">
        <v>2.5</v>
      </c>
      <c r="H124" s="1">
        <v>5.9</v>
      </c>
      <c r="I124" s="106">
        <v>5</v>
      </c>
      <c r="J124" s="108">
        <v>2</v>
      </c>
      <c r="L124" s="1"/>
      <c r="M124" s="1"/>
      <c r="N124" s="1"/>
      <c r="O124" s="1"/>
      <c r="P124" s="1"/>
      <c r="Q124" s="1"/>
    </row>
    <row r="125" spans="1:17" ht="15.75" thickBot="1">
      <c r="A125" s="1" t="s">
        <v>18</v>
      </c>
      <c r="B125" s="1" t="s">
        <v>11</v>
      </c>
      <c r="C125" s="1" t="s">
        <v>139</v>
      </c>
      <c r="D125" s="1">
        <v>3</v>
      </c>
      <c r="E125" s="1">
        <v>21</v>
      </c>
      <c r="F125" s="1">
        <v>4500</v>
      </c>
      <c r="G125" s="1">
        <v>1</v>
      </c>
      <c r="H125" s="1">
        <v>5.4</v>
      </c>
      <c r="I125" s="106">
        <v>4.2</v>
      </c>
      <c r="J125" s="108">
        <v>2</v>
      </c>
      <c r="L125" s="1"/>
      <c r="M125" s="1"/>
      <c r="N125" s="1"/>
      <c r="O125" s="1"/>
      <c r="P125" s="1"/>
      <c r="Q125" s="1"/>
    </row>
    <row r="126" spans="1:17" ht="15.75" thickBot="1">
      <c r="A126" s="1" t="s">
        <v>15</v>
      </c>
      <c r="B126" s="1" t="s">
        <v>25</v>
      </c>
      <c r="C126" s="1" t="s">
        <v>140</v>
      </c>
      <c r="D126" s="1">
        <v>2</v>
      </c>
      <c r="E126" s="1">
        <v>17</v>
      </c>
      <c r="F126" s="1">
        <v>4000</v>
      </c>
      <c r="G126" s="1">
        <v>2</v>
      </c>
      <c r="H126" s="1">
        <v>6.8</v>
      </c>
      <c r="I126" s="106">
        <v>4.2</v>
      </c>
      <c r="J126" s="108">
        <v>3</v>
      </c>
      <c r="L126" s="1"/>
      <c r="M126" s="1"/>
      <c r="N126" s="1"/>
      <c r="O126" s="1"/>
      <c r="P126" s="1"/>
      <c r="Q126" s="1"/>
    </row>
    <row r="127" spans="1:17" ht="15.75" thickBot="1">
      <c r="A127" s="1" t="s">
        <v>18</v>
      </c>
      <c r="B127" s="1" t="s">
        <v>23</v>
      </c>
      <c r="C127" s="1" t="s">
        <v>141</v>
      </c>
      <c r="D127" s="1">
        <v>2</v>
      </c>
      <c r="E127" s="1">
        <v>11</v>
      </c>
      <c r="F127" s="1">
        <v>4000</v>
      </c>
      <c r="G127" s="1">
        <v>2.5</v>
      </c>
      <c r="H127" s="1">
        <v>6.9</v>
      </c>
      <c r="I127" s="106">
        <v>5</v>
      </c>
      <c r="J127" s="108">
        <v>4</v>
      </c>
      <c r="L127" s="1"/>
      <c r="M127" s="1"/>
      <c r="N127" s="1"/>
      <c r="O127" s="1"/>
      <c r="P127" s="1"/>
      <c r="Q127" s="1"/>
    </row>
    <row r="128" spans="1:17" ht="15.75" thickBot="1">
      <c r="A128" s="1" t="s">
        <v>15</v>
      </c>
      <c r="B128" s="1" t="s">
        <v>23</v>
      </c>
      <c r="C128" s="1" t="s">
        <v>142</v>
      </c>
      <c r="D128" s="1">
        <v>2</v>
      </c>
      <c r="E128" s="1">
        <v>27</v>
      </c>
      <c r="F128" s="1">
        <v>3500</v>
      </c>
      <c r="G128" s="1">
        <v>4</v>
      </c>
      <c r="H128" s="1">
        <v>5.9</v>
      </c>
      <c r="I128" s="106">
        <v>3.8</v>
      </c>
      <c r="J128" s="108">
        <v>3</v>
      </c>
      <c r="L128" s="1"/>
      <c r="M128" s="1"/>
      <c r="N128" s="1"/>
      <c r="O128" s="1"/>
      <c r="P128" s="1"/>
      <c r="Q128" s="1"/>
    </row>
    <row r="129" spans="1:17" ht="15.75" thickBot="1">
      <c r="A129" s="1" t="s">
        <v>10</v>
      </c>
      <c r="B129" s="1" t="s">
        <v>27</v>
      </c>
      <c r="C129" s="1" t="s">
        <v>143</v>
      </c>
      <c r="D129" s="1">
        <v>3</v>
      </c>
      <c r="E129" s="1">
        <v>19</v>
      </c>
      <c r="F129" s="1">
        <v>3300</v>
      </c>
      <c r="G129" s="1">
        <v>3</v>
      </c>
      <c r="H129" s="1">
        <v>4.5</v>
      </c>
      <c r="I129" s="106">
        <v>5</v>
      </c>
      <c r="J129" s="108">
        <v>4</v>
      </c>
      <c r="L129" s="1"/>
      <c r="M129" s="1"/>
      <c r="N129" s="1"/>
      <c r="O129" s="1"/>
      <c r="P129" s="1"/>
      <c r="Q129" s="1"/>
    </row>
    <row r="130" spans="1:17" ht="15.75" thickBot="1">
      <c r="A130" s="1" t="s">
        <v>26</v>
      </c>
      <c r="B130" s="1" t="s">
        <v>27</v>
      </c>
      <c r="C130" s="1" t="s">
        <v>144</v>
      </c>
      <c r="D130" s="1">
        <v>2</v>
      </c>
      <c r="E130" s="1">
        <v>3</v>
      </c>
      <c r="F130" s="1">
        <v>3300</v>
      </c>
      <c r="G130" s="1">
        <v>5</v>
      </c>
      <c r="H130" s="1">
        <v>6.3</v>
      </c>
      <c r="I130" s="106">
        <v>4.2</v>
      </c>
      <c r="J130" s="108">
        <v>3</v>
      </c>
      <c r="L130" s="1"/>
      <c r="M130" s="1"/>
      <c r="N130" s="1"/>
      <c r="O130" s="1"/>
      <c r="P130" s="1"/>
      <c r="Q130" s="1"/>
    </row>
    <row r="131" spans="1:17" ht="15.75" thickBot="1">
      <c r="A131" s="1" t="s">
        <v>20</v>
      </c>
      <c r="B131" s="1" t="s">
        <v>23</v>
      </c>
      <c r="C131" s="1" t="s">
        <v>145</v>
      </c>
      <c r="D131" s="1">
        <v>1</v>
      </c>
      <c r="E131" s="1">
        <v>20</v>
      </c>
      <c r="F131" s="1">
        <v>3500</v>
      </c>
      <c r="G131" s="1">
        <v>3</v>
      </c>
      <c r="H131" s="1">
        <v>5.5</v>
      </c>
      <c r="I131" s="106">
        <v>5</v>
      </c>
      <c r="J131" s="108">
        <v>3</v>
      </c>
      <c r="L131" s="1"/>
      <c r="M131" s="1"/>
      <c r="N131" s="1"/>
      <c r="O131" s="1"/>
      <c r="P131" s="1"/>
      <c r="Q131" s="1"/>
    </row>
    <row r="132" spans="1:17" ht="15.75" thickBot="1">
      <c r="A132" s="1" t="s">
        <v>20</v>
      </c>
      <c r="B132" s="1" t="s">
        <v>11</v>
      </c>
      <c r="C132" s="1" t="s">
        <v>146</v>
      </c>
      <c r="D132" s="1">
        <v>1</v>
      </c>
      <c r="E132" s="1">
        <v>27</v>
      </c>
      <c r="F132" s="1">
        <v>4500</v>
      </c>
      <c r="G132" s="1">
        <v>3.5</v>
      </c>
      <c r="H132" s="1">
        <v>5.8</v>
      </c>
      <c r="I132" s="106">
        <v>4.2</v>
      </c>
      <c r="J132" s="108">
        <v>2</v>
      </c>
      <c r="L132" s="1"/>
      <c r="M132" s="1"/>
      <c r="N132" s="1"/>
      <c r="O132" s="1"/>
      <c r="P132" s="1"/>
      <c r="Q132" s="1"/>
    </row>
    <row r="133" spans="1:17" ht="15.75" thickBot="1">
      <c r="A133" s="1" t="s">
        <v>15</v>
      </c>
      <c r="B133" s="1" t="s">
        <v>27</v>
      </c>
      <c r="C133" s="1" t="s">
        <v>147</v>
      </c>
      <c r="D133" s="1">
        <v>4</v>
      </c>
      <c r="E133" s="1">
        <v>7</v>
      </c>
      <c r="F133" s="1">
        <v>3300</v>
      </c>
      <c r="G133" s="1">
        <v>2</v>
      </c>
      <c r="H133" s="1">
        <v>5.8</v>
      </c>
      <c r="I133" s="106">
        <v>3.8</v>
      </c>
      <c r="J133" s="108">
        <v>4</v>
      </c>
      <c r="L133" s="1"/>
      <c r="M133" s="1"/>
      <c r="N133" s="1"/>
      <c r="O133" s="1"/>
      <c r="P133" s="1"/>
      <c r="Q133" s="1"/>
    </row>
    <row r="134" spans="1:17" ht="15.75" thickBot="1">
      <c r="A134" s="1" t="s">
        <v>20</v>
      </c>
      <c r="B134" s="1" t="s">
        <v>16</v>
      </c>
      <c r="C134" s="1" t="s">
        <v>148</v>
      </c>
      <c r="D134" s="1">
        <v>5</v>
      </c>
      <c r="E134" s="1">
        <v>16</v>
      </c>
      <c r="F134" s="1">
        <v>3300</v>
      </c>
      <c r="G134" s="1">
        <v>2.5</v>
      </c>
      <c r="H134" s="1">
        <v>6.9</v>
      </c>
      <c r="I134" s="106">
        <v>5</v>
      </c>
      <c r="J134" s="107">
        <v>3</v>
      </c>
      <c r="L134" s="1"/>
      <c r="M134" s="1"/>
      <c r="N134" s="1"/>
      <c r="O134" s="1"/>
      <c r="P134" s="1"/>
      <c r="Q134" s="1"/>
    </row>
    <row r="135" spans="1:17" ht="15.75" thickBot="1">
      <c r="A135" s="1" t="s">
        <v>15</v>
      </c>
      <c r="B135" s="1" t="s">
        <v>25</v>
      </c>
      <c r="C135" s="1" t="s">
        <v>149</v>
      </c>
      <c r="D135" s="1">
        <v>1</v>
      </c>
      <c r="E135" s="1">
        <v>6</v>
      </c>
      <c r="F135" s="1">
        <v>3500</v>
      </c>
      <c r="G135" s="1">
        <v>3.5</v>
      </c>
      <c r="H135" s="1">
        <v>6</v>
      </c>
      <c r="I135" s="106">
        <v>5</v>
      </c>
      <c r="J135" s="108">
        <v>2</v>
      </c>
      <c r="L135" s="1"/>
      <c r="M135" s="1"/>
      <c r="N135" s="1"/>
      <c r="O135" s="1"/>
      <c r="P135" s="1"/>
      <c r="Q135" s="1"/>
    </row>
    <row r="136" spans="1:17" ht="15.75" thickBot="1">
      <c r="A136" s="1" t="s">
        <v>18</v>
      </c>
      <c r="B136" s="1" t="s">
        <v>16</v>
      </c>
      <c r="C136" s="1" t="s">
        <v>150</v>
      </c>
      <c r="D136" s="1">
        <v>1</v>
      </c>
      <c r="E136" s="1">
        <v>16</v>
      </c>
      <c r="F136" s="1">
        <v>3300</v>
      </c>
      <c r="G136" s="1">
        <v>1</v>
      </c>
      <c r="H136" s="1">
        <v>5.8</v>
      </c>
      <c r="I136" s="106">
        <v>4.2</v>
      </c>
      <c r="J136" s="108">
        <v>1</v>
      </c>
      <c r="L136" s="1"/>
      <c r="M136" s="1"/>
      <c r="N136" s="1"/>
      <c r="O136" s="1"/>
      <c r="P136" s="1"/>
      <c r="Q136" s="1"/>
    </row>
    <row r="137" spans="1:17" ht="15.75" thickBot="1">
      <c r="A137" s="1" t="s">
        <v>26</v>
      </c>
      <c r="B137" s="1" t="s">
        <v>16</v>
      </c>
      <c r="C137" s="1" t="s">
        <v>151</v>
      </c>
      <c r="D137" s="1">
        <v>3</v>
      </c>
      <c r="E137" s="1">
        <v>17</v>
      </c>
      <c r="F137" s="1">
        <v>4000</v>
      </c>
      <c r="G137" s="1">
        <v>4</v>
      </c>
      <c r="H137" s="1">
        <v>6.9</v>
      </c>
      <c r="I137" s="106">
        <v>4.2</v>
      </c>
      <c r="J137" s="109">
        <v>4</v>
      </c>
      <c r="L137" s="1"/>
      <c r="M137" s="1"/>
      <c r="N137" s="1"/>
      <c r="O137" s="1"/>
      <c r="P137" s="1"/>
      <c r="Q137" s="1"/>
    </row>
    <row r="138" spans="1:17" ht="15.75" thickBot="1">
      <c r="A138" s="1" t="s">
        <v>20</v>
      </c>
      <c r="B138" s="1" t="s">
        <v>16</v>
      </c>
      <c r="C138" s="1" t="s">
        <v>152</v>
      </c>
      <c r="D138" s="1">
        <v>3</v>
      </c>
      <c r="E138" s="1">
        <v>13</v>
      </c>
      <c r="F138" s="1">
        <v>3500</v>
      </c>
      <c r="G138" s="1">
        <v>3</v>
      </c>
      <c r="H138" s="1">
        <v>5.8</v>
      </c>
      <c r="I138" s="106">
        <v>3.8</v>
      </c>
      <c r="J138" s="108">
        <v>2</v>
      </c>
      <c r="L138" s="1"/>
      <c r="M138" s="1"/>
      <c r="N138" s="1"/>
      <c r="O138" s="1"/>
      <c r="P138" s="1"/>
      <c r="Q138" s="1"/>
    </row>
    <row r="139" spans="1:17" ht="15.75" thickBot="1">
      <c r="A139" s="1" t="s">
        <v>20</v>
      </c>
      <c r="B139" s="1" t="s">
        <v>11</v>
      </c>
      <c r="C139" s="1" t="s">
        <v>153</v>
      </c>
      <c r="D139" s="1">
        <v>2</v>
      </c>
      <c r="E139" s="1">
        <v>3</v>
      </c>
      <c r="F139" s="1">
        <v>3300</v>
      </c>
      <c r="G139" s="1">
        <v>1.5</v>
      </c>
      <c r="H139" s="1">
        <v>6</v>
      </c>
      <c r="I139" s="106">
        <v>4.2</v>
      </c>
      <c r="J139" s="108">
        <v>4</v>
      </c>
      <c r="L139" s="1"/>
      <c r="M139" s="1"/>
      <c r="N139" s="1"/>
      <c r="O139" s="1"/>
      <c r="P139" s="1"/>
      <c r="Q139" s="1"/>
    </row>
    <row r="140" spans="1:17" ht="15.75" thickBot="1">
      <c r="A140" s="1" t="s">
        <v>18</v>
      </c>
      <c r="B140" s="1" t="s">
        <v>25</v>
      </c>
      <c r="C140" s="1" t="s">
        <v>154</v>
      </c>
      <c r="D140" s="1">
        <v>5</v>
      </c>
      <c r="E140" s="1">
        <v>9</v>
      </c>
      <c r="F140" s="1">
        <v>4000</v>
      </c>
      <c r="G140" s="1">
        <v>2.5</v>
      </c>
      <c r="H140" s="1">
        <v>5.9</v>
      </c>
      <c r="I140" s="106">
        <v>4.2</v>
      </c>
      <c r="J140" s="108">
        <v>4</v>
      </c>
      <c r="L140" s="1"/>
      <c r="M140" s="1"/>
      <c r="N140" s="1"/>
      <c r="O140" s="1"/>
      <c r="P140" s="1"/>
      <c r="Q140" s="1"/>
    </row>
    <row r="141" spans="1:17" ht="15.75" thickBot="1">
      <c r="A141" s="1" t="s">
        <v>20</v>
      </c>
      <c r="B141" s="1" t="s">
        <v>13</v>
      </c>
      <c r="C141" s="1" t="s">
        <v>155</v>
      </c>
      <c r="D141" s="1">
        <v>1</v>
      </c>
      <c r="E141" s="1">
        <v>24</v>
      </c>
      <c r="F141" s="1">
        <v>4500</v>
      </c>
      <c r="G141" s="1">
        <v>5</v>
      </c>
      <c r="H141" s="1">
        <v>5.5</v>
      </c>
      <c r="I141" s="106">
        <v>5</v>
      </c>
      <c r="J141" s="108">
        <v>2</v>
      </c>
      <c r="L141" s="1"/>
      <c r="M141" s="1"/>
      <c r="N141" s="1"/>
      <c r="O141" s="1"/>
      <c r="P141" s="1"/>
      <c r="Q141" s="1"/>
    </row>
    <row r="142" spans="1:17" ht="15.75" thickBot="1">
      <c r="A142" s="1" t="s">
        <v>10</v>
      </c>
      <c r="B142" s="1" t="s">
        <v>16</v>
      </c>
      <c r="C142" s="1" t="s">
        <v>156</v>
      </c>
      <c r="D142" s="1">
        <v>3</v>
      </c>
      <c r="E142" s="1">
        <v>17</v>
      </c>
      <c r="F142" s="1">
        <v>3500</v>
      </c>
      <c r="G142" s="1">
        <v>1.5</v>
      </c>
      <c r="H142" s="1">
        <v>5.8</v>
      </c>
      <c r="I142" s="106">
        <v>5</v>
      </c>
      <c r="J142" s="108">
        <v>4</v>
      </c>
      <c r="L142" s="1"/>
      <c r="M142" s="1"/>
      <c r="N142" s="1"/>
      <c r="O142" s="1"/>
      <c r="P142" s="1"/>
      <c r="Q142" s="1"/>
    </row>
    <row r="143" spans="1:17" ht="15.75" thickBot="1">
      <c r="A143" s="1" t="s">
        <v>20</v>
      </c>
      <c r="B143" s="1" t="s">
        <v>16</v>
      </c>
      <c r="C143" s="1" t="s">
        <v>157</v>
      </c>
      <c r="D143" s="1">
        <v>1</v>
      </c>
      <c r="E143" s="1">
        <v>30</v>
      </c>
      <c r="F143" s="1">
        <v>3300</v>
      </c>
      <c r="G143" s="1">
        <v>3</v>
      </c>
      <c r="H143" s="1">
        <v>6.8</v>
      </c>
      <c r="I143" s="106">
        <v>4.2</v>
      </c>
      <c r="J143" s="108">
        <v>3</v>
      </c>
      <c r="L143" s="1"/>
      <c r="M143" s="1"/>
      <c r="N143" s="1"/>
      <c r="O143" s="1"/>
      <c r="P143" s="1"/>
      <c r="Q143" s="1"/>
    </row>
    <row r="144" spans="1:17" ht="15.75" thickBot="1">
      <c r="A144" s="1" t="s">
        <v>15</v>
      </c>
      <c r="B144" s="1" t="s">
        <v>27</v>
      </c>
      <c r="C144" s="1" t="s">
        <v>158</v>
      </c>
      <c r="D144" s="1">
        <v>3</v>
      </c>
      <c r="E144" s="1">
        <v>8</v>
      </c>
      <c r="F144" s="1">
        <v>3500</v>
      </c>
      <c r="G144" s="1">
        <v>4</v>
      </c>
      <c r="H144" s="1">
        <v>5.9</v>
      </c>
      <c r="I144" s="106">
        <v>4.2</v>
      </c>
      <c r="J144" s="108">
        <v>1</v>
      </c>
      <c r="L144" s="1"/>
      <c r="M144" s="1"/>
      <c r="N144" s="1"/>
      <c r="O144" s="1"/>
      <c r="P144" s="1"/>
      <c r="Q144" s="1"/>
    </row>
    <row r="145" spans="1:17" ht="15.75" thickBot="1">
      <c r="A145" s="1" t="s">
        <v>20</v>
      </c>
      <c r="B145" s="1" t="s">
        <v>23</v>
      </c>
      <c r="C145" s="1" t="s">
        <v>159</v>
      </c>
      <c r="D145" s="1">
        <v>3</v>
      </c>
      <c r="E145" s="1">
        <v>30</v>
      </c>
      <c r="F145" s="1">
        <v>4000</v>
      </c>
      <c r="G145" s="1">
        <v>3</v>
      </c>
      <c r="H145" s="1">
        <v>4.5</v>
      </c>
      <c r="I145" s="106">
        <v>4.2</v>
      </c>
      <c r="J145" s="107">
        <v>2</v>
      </c>
      <c r="L145" s="1"/>
      <c r="M145" s="1"/>
      <c r="N145" s="1"/>
      <c r="O145" s="1"/>
      <c r="P145" s="1"/>
      <c r="Q145" s="1"/>
    </row>
    <row r="146" spans="1:17" ht="15.75" thickBot="1">
      <c r="A146" s="1" t="s">
        <v>18</v>
      </c>
      <c r="B146" s="1" t="s">
        <v>27</v>
      </c>
      <c r="C146" s="1" t="s">
        <v>160</v>
      </c>
      <c r="D146" s="1">
        <v>1</v>
      </c>
      <c r="E146" s="1">
        <v>27</v>
      </c>
      <c r="F146" s="1">
        <v>4000</v>
      </c>
      <c r="G146" s="1">
        <v>3.5</v>
      </c>
      <c r="H146" s="1">
        <v>6</v>
      </c>
      <c r="I146" s="106">
        <v>3.8</v>
      </c>
      <c r="J146" s="108">
        <v>2</v>
      </c>
      <c r="L146" s="1"/>
      <c r="M146" s="1"/>
      <c r="N146" s="1"/>
      <c r="O146" s="1"/>
      <c r="P146" s="1"/>
      <c r="Q146" s="1"/>
    </row>
    <row r="147" spans="1:17" ht="15.75" thickBot="1">
      <c r="A147" s="1" t="s">
        <v>10</v>
      </c>
      <c r="B147" s="1" t="s">
        <v>13</v>
      </c>
      <c r="C147" s="1" t="s">
        <v>161</v>
      </c>
      <c r="D147" s="1">
        <v>4</v>
      </c>
      <c r="E147" s="1">
        <v>27</v>
      </c>
      <c r="F147" s="1">
        <v>4000</v>
      </c>
      <c r="G147" s="1">
        <v>4</v>
      </c>
      <c r="H147" s="1">
        <v>6</v>
      </c>
      <c r="I147" s="106">
        <v>5</v>
      </c>
      <c r="J147" s="108">
        <v>3</v>
      </c>
      <c r="L147" s="1"/>
      <c r="M147" s="1"/>
      <c r="N147" s="1"/>
      <c r="O147" s="1"/>
      <c r="P147" s="1"/>
      <c r="Q147" s="1"/>
    </row>
    <row r="148" spans="1:17" ht="15.75" thickBot="1">
      <c r="A148" s="1" t="s">
        <v>26</v>
      </c>
      <c r="B148" s="1" t="s">
        <v>16</v>
      </c>
      <c r="C148" s="1" t="s">
        <v>162</v>
      </c>
      <c r="D148" s="1">
        <v>3</v>
      </c>
      <c r="E148" s="1">
        <v>2</v>
      </c>
      <c r="F148" s="1">
        <v>3500</v>
      </c>
      <c r="G148" s="1">
        <v>2</v>
      </c>
      <c r="H148" s="1">
        <v>6.8</v>
      </c>
      <c r="I148" s="106">
        <v>4.2</v>
      </c>
      <c r="J148" s="108">
        <v>1</v>
      </c>
      <c r="L148" s="1"/>
      <c r="M148" s="1"/>
      <c r="N148" s="1"/>
      <c r="O148" s="1"/>
      <c r="P148" s="1"/>
      <c r="Q148" s="1"/>
    </row>
    <row r="149" spans="1:17" ht="15.75" thickBot="1">
      <c r="A149" s="1" t="s">
        <v>15</v>
      </c>
      <c r="B149" s="1" t="s">
        <v>16</v>
      </c>
      <c r="C149" s="1" t="s">
        <v>163</v>
      </c>
      <c r="D149" s="1">
        <v>3</v>
      </c>
      <c r="E149" s="1">
        <v>12</v>
      </c>
      <c r="F149" s="1">
        <v>4500</v>
      </c>
      <c r="G149" s="1">
        <v>5</v>
      </c>
      <c r="H149" s="1">
        <v>4.5</v>
      </c>
      <c r="I149" s="106">
        <v>5</v>
      </c>
      <c r="J149" s="108">
        <v>2</v>
      </c>
      <c r="L149" s="1"/>
      <c r="M149" s="1"/>
      <c r="N149" s="1"/>
      <c r="O149" s="1"/>
      <c r="P149" s="1"/>
      <c r="Q149" s="1"/>
    </row>
    <row r="150" spans="1:17" ht="15.75" thickBot="1">
      <c r="A150" s="1" t="s">
        <v>26</v>
      </c>
      <c r="B150" s="1" t="s">
        <v>27</v>
      </c>
      <c r="C150" s="1" t="s">
        <v>164</v>
      </c>
      <c r="D150" s="1">
        <v>2</v>
      </c>
      <c r="E150" s="1">
        <v>12</v>
      </c>
      <c r="F150" s="1">
        <v>3500</v>
      </c>
      <c r="G150" s="1">
        <v>1.5</v>
      </c>
      <c r="H150" s="1">
        <v>6.6</v>
      </c>
      <c r="I150" s="106">
        <v>4.2</v>
      </c>
      <c r="J150" s="108">
        <v>4</v>
      </c>
      <c r="L150" s="1"/>
      <c r="M150" s="1"/>
      <c r="N150" s="1"/>
      <c r="O150" s="1"/>
      <c r="P150" s="1"/>
      <c r="Q150" s="1"/>
    </row>
    <row r="151" spans="1:17" ht="15.75" thickBot="1">
      <c r="A151" s="1" t="s">
        <v>18</v>
      </c>
      <c r="B151" s="1" t="s">
        <v>25</v>
      </c>
      <c r="C151" s="1" t="s">
        <v>165</v>
      </c>
      <c r="D151" s="1">
        <v>1</v>
      </c>
      <c r="E151" s="1">
        <v>4</v>
      </c>
      <c r="F151" s="1">
        <v>3500</v>
      </c>
      <c r="G151" s="1">
        <v>3</v>
      </c>
      <c r="H151" s="1">
        <v>6</v>
      </c>
      <c r="I151" s="106">
        <v>3.8</v>
      </c>
      <c r="J151" s="116">
        <v>4</v>
      </c>
      <c r="L151" s="1"/>
      <c r="M151" s="1"/>
      <c r="N151" s="1"/>
      <c r="O151" s="1"/>
      <c r="P151" s="1"/>
      <c r="Q151" s="1"/>
    </row>
    <row r="152" spans="1:17">
      <c r="J152" s="109"/>
    </row>
    <row r="153" spans="1:17">
      <c r="J153" s="108"/>
    </row>
    <row r="154" spans="1:17">
      <c r="J154" s="108"/>
    </row>
    <row r="155" spans="1:17">
      <c r="J155" s="108"/>
    </row>
    <row r="156" spans="1:17">
      <c r="J156" s="109"/>
    </row>
    <row r="157" spans="1:17">
      <c r="J157" s="108"/>
    </row>
    <row r="158" spans="1:17">
      <c r="J158" s="108"/>
    </row>
    <row r="159" spans="1:17">
      <c r="J159" s="108"/>
    </row>
    <row r="160" spans="1:17">
      <c r="J160" s="108"/>
    </row>
    <row r="161" spans="10:10">
      <c r="J161" s="108"/>
    </row>
    <row r="162" spans="10:10">
      <c r="J162" s="108"/>
    </row>
    <row r="163" spans="10:10">
      <c r="J163" s="108"/>
    </row>
    <row r="164" spans="10:10">
      <c r="J164" s="108"/>
    </row>
    <row r="165" spans="10:10">
      <c r="J165" s="108"/>
    </row>
    <row r="166" spans="10:10">
      <c r="J166" s="10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4E9F0-F4E3-461D-A0CC-386CAF2ECDBD}">
  <dimension ref="B1:AR151"/>
  <sheetViews>
    <sheetView topLeftCell="G46" workbookViewId="0">
      <selection activeCell="AA31" sqref="AA31"/>
    </sheetView>
  </sheetViews>
  <sheetFormatPr baseColWidth="10" defaultColWidth="11.42578125" defaultRowHeight="15"/>
  <cols>
    <col min="1" max="1" width="28.42578125" customWidth="1"/>
    <col min="2" max="2" width="63.140625" customWidth="1"/>
    <col min="3" max="3" width="39.5703125" customWidth="1"/>
    <col min="4" max="4" width="49.28515625" customWidth="1"/>
    <col min="7" max="7" width="22.5703125" customWidth="1"/>
    <col min="8" max="8" width="14.42578125" bestFit="1" customWidth="1"/>
    <col min="14" max="14" width="20.140625" bestFit="1" customWidth="1"/>
  </cols>
  <sheetData>
    <row r="1" spans="2:44">
      <c r="B1" s="5" t="s">
        <v>6</v>
      </c>
      <c r="C1" s="5" t="s">
        <v>7</v>
      </c>
      <c r="D1" s="5" t="s">
        <v>8</v>
      </c>
      <c r="F1" s="130" t="s">
        <v>166</v>
      </c>
      <c r="G1" s="6" t="s">
        <v>167</v>
      </c>
      <c r="H1" s="37" cm="1">
        <f t="array" aca="1" ref="H1" ca="1">H1:H13</f>
        <v>0</v>
      </c>
      <c r="J1" s="88" t="s">
        <v>168</v>
      </c>
      <c r="K1" s="88" t="s">
        <v>169</v>
      </c>
      <c r="L1" s="89" t="s">
        <v>170</v>
      </c>
      <c r="M1" s="88" t="s">
        <v>171</v>
      </c>
      <c r="N1" s="90" t="s">
        <v>172</v>
      </c>
      <c r="O1" s="88" t="s">
        <v>173</v>
      </c>
      <c r="P1" s="88" t="s">
        <v>174</v>
      </c>
      <c r="Q1" s="88" t="s">
        <v>175</v>
      </c>
    </row>
    <row r="2" spans="2:44">
      <c r="B2" s="1">
        <v>1.5</v>
      </c>
      <c r="C2" s="1">
        <v>6</v>
      </c>
      <c r="D2" s="1">
        <v>4.2</v>
      </c>
      <c r="F2" s="127"/>
      <c r="G2" s="8" t="s">
        <v>176</v>
      </c>
      <c r="H2" s="15">
        <f>STDEV(B2:B151)</f>
        <v>1.2210357945748804</v>
      </c>
      <c r="J2" s="44">
        <v>1</v>
      </c>
      <c r="K2" s="45">
        <v>1</v>
      </c>
      <c r="L2" s="45">
        <v>1.33</v>
      </c>
      <c r="M2" s="46">
        <v>1.165</v>
      </c>
      <c r="N2" s="51">
        <v>9</v>
      </c>
      <c r="O2" s="47">
        <v>9</v>
      </c>
      <c r="P2" s="48">
        <v>0.06</v>
      </c>
      <c r="Q2" s="48">
        <v>0.06</v>
      </c>
    </row>
    <row r="3" spans="2:44">
      <c r="B3" s="1">
        <v>3</v>
      </c>
      <c r="C3" s="1">
        <v>4.5</v>
      </c>
      <c r="D3" s="1">
        <v>4.2</v>
      </c>
      <c r="F3" s="127"/>
      <c r="G3" s="8" t="s">
        <v>177</v>
      </c>
      <c r="H3" s="38">
        <f>AVERAGE(B2:B151)</f>
        <v>3.0633333333333335</v>
      </c>
      <c r="J3" s="49">
        <v>2</v>
      </c>
      <c r="K3" s="50">
        <v>1.34</v>
      </c>
      <c r="L3" s="50">
        <v>1.67</v>
      </c>
      <c r="M3" s="46">
        <v>1.5049999999999999</v>
      </c>
      <c r="N3" s="51">
        <v>9</v>
      </c>
      <c r="O3" s="47">
        <v>18</v>
      </c>
      <c r="P3" s="48">
        <v>0.06</v>
      </c>
      <c r="Q3" s="48">
        <v>0.12</v>
      </c>
    </row>
    <row r="4" spans="2:44" ht="15.75">
      <c r="B4" s="1">
        <v>4</v>
      </c>
      <c r="C4" s="1">
        <v>5.4</v>
      </c>
      <c r="D4" s="1">
        <v>5</v>
      </c>
      <c r="F4" s="128"/>
      <c r="G4" s="11" t="s">
        <v>178</v>
      </c>
      <c r="H4" s="39">
        <f>MODE(B2:B151)</f>
        <v>3</v>
      </c>
      <c r="J4" s="44">
        <v>3</v>
      </c>
      <c r="K4" s="50">
        <v>1.68</v>
      </c>
      <c r="L4" s="50">
        <v>2</v>
      </c>
      <c r="M4" s="46">
        <v>1.84</v>
      </c>
      <c r="N4" s="51">
        <v>8</v>
      </c>
      <c r="O4" s="47">
        <v>26</v>
      </c>
      <c r="P4" s="48">
        <v>0.05</v>
      </c>
      <c r="Q4" s="48">
        <v>0.17</v>
      </c>
      <c r="T4" s="41"/>
      <c r="Z4" s="42"/>
      <c r="AF4" s="42"/>
      <c r="AL4" s="42"/>
      <c r="AR4" s="42"/>
    </row>
    <row r="5" spans="2:44">
      <c r="B5" s="1">
        <v>1.5</v>
      </c>
      <c r="C5" s="1">
        <v>6.9</v>
      </c>
      <c r="D5" s="1">
        <v>3.8</v>
      </c>
      <c r="F5" s="131" t="s">
        <v>179</v>
      </c>
      <c r="G5" s="13" t="s">
        <v>180</v>
      </c>
      <c r="H5" s="37">
        <f>_xlfn.STDEV.S(B2:B151)</f>
        <v>1.2210357945748804</v>
      </c>
      <c r="J5" s="49">
        <v>4</v>
      </c>
      <c r="K5" s="50">
        <v>2.0099999999999998</v>
      </c>
      <c r="L5" s="50">
        <v>2.33</v>
      </c>
      <c r="M5" s="46">
        <v>2.17</v>
      </c>
      <c r="N5" s="51">
        <v>12</v>
      </c>
      <c r="O5" s="47">
        <v>38</v>
      </c>
      <c r="P5" s="48">
        <v>0.08</v>
      </c>
      <c r="Q5" s="48">
        <v>0.25</v>
      </c>
    </row>
    <row r="6" spans="2:44">
      <c r="B6" s="1">
        <v>3.5</v>
      </c>
      <c r="C6" s="1">
        <v>5.8</v>
      </c>
      <c r="D6" s="1">
        <v>5</v>
      </c>
      <c r="F6" s="124"/>
      <c r="G6" s="14" t="s">
        <v>181</v>
      </c>
      <c r="H6" s="15">
        <f>VAR(B2:B151)</f>
        <v>1.4909284116331094</v>
      </c>
      <c r="J6" s="44">
        <v>5</v>
      </c>
      <c r="K6" s="50">
        <v>2.34</v>
      </c>
      <c r="L6" s="50">
        <v>2.67</v>
      </c>
      <c r="M6" s="46">
        <v>2.5049999999999999</v>
      </c>
      <c r="N6" s="51">
        <v>15</v>
      </c>
      <c r="O6" s="47">
        <v>53</v>
      </c>
      <c r="P6" s="48">
        <v>0.1</v>
      </c>
      <c r="Q6" s="48">
        <v>0.35</v>
      </c>
    </row>
    <row r="7" spans="2:44">
      <c r="B7" s="1">
        <v>3.5</v>
      </c>
      <c r="C7" s="1">
        <v>6.9</v>
      </c>
      <c r="D7" s="1">
        <v>3.8</v>
      </c>
      <c r="F7" s="124"/>
      <c r="G7" s="14" t="s">
        <v>182</v>
      </c>
      <c r="H7" s="15">
        <f>KURT(B2:B151)</f>
        <v>-0.88222254604998573</v>
      </c>
      <c r="J7" s="49">
        <v>6</v>
      </c>
      <c r="K7" s="50">
        <v>2.68</v>
      </c>
      <c r="L7" s="50">
        <v>3</v>
      </c>
      <c r="M7" s="46">
        <v>2.84</v>
      </c>
      <c r="N7" s="51">
        <v>10</v>
      </c>
      <c r="O7" s="47">
        <v>63</v>
      </c>
      <c r="P7" s="48">
        <v>0.06</v>
      </c>
      <c r="Q7" s="48">
        <v>0.42</v>
      </c>
    </row>
    <row r="8" spans="2:44">
      <c r="B8" s="1">
        <v>5</v>
      </c>
      <c r="C8" s="1">
        <v>6</v>
      </c>
      <c r="D8" s="1">
        <v>5</v>
      </c>
      <c r="F8" s="124"/>
      <c r="G8" s="14" t="s">
        <v>183</v>
      </c>
      <c r="H8" s="15">
        <f>SKEW(B2:B151)</f>
        <v>-0.15738369627095264</v>
      </c>
      <c r="J8" s="44">
        <v>7</v>
      </c>
      <c r="K8" s="50">
        <v>3.01</v>
      </c>
      <c r="L8" s="50">
        <v>3.33</v>
      </c>
      <c r="M8" s="46">
        <v>3.17</v>
      </c>
      <c r="N8" s="51">
        <v>11</v>
      </c>
      <c r="O8" s="47">
        <v>74</v>
      </c>
      <c r="P8" s="48">
        <v>7.0000000000000007E-2</v>
      </c>
      <c r="Q8" s="48">
        <v>0.49</v>
      </c>
    </row>
    <row r="9" spans="2:44">
      <c r="B9" s="1">
        <v>3.5</v>
      </c>
      <c r="C9" s="1">
        <v>6</v>
      </c>
      <c r="D9" s="1">
        <v>5</v>
      </c>
      <c r="F9" s="124"/>
      <c r="G9" s="14" t="s">
        <v>184</v>
      </c>
      <c r="H9" s="15">
        <f>H11-H10</f>
        <v>4</v>
      </c>
      <c r="J9" s="49">
        <v>8</v>
      </c>
      <c r="K9" s="50">
        <v>3.34</v>
      </c>
      <c r="L9" s="50">
        <v>3.67</v>
      </c>
      <c r="M9" s="46">
        <v>3.5049999999999999</v>
      </c>
      <c r="N9" s="51">
        <v>14</v>
      </c>
      <c r="O9" s="47">
        <v>88</v>
      </c>
      <c r="P9" s="48">
        <v>0.09</v>
      </c>
      <c r="Q9" s="48">
        <v>0.59</v>
      </c>
    </row>
    <row r="10" spans="2:44">
      <c r="B10" s="1">
        <v>4.5</v>
      </c>
      <c r="C10" s="1">
        <v>6</v>
      </c>
      <c r="D10" s="1">
        <v>5</v>
      </c>
      <c r="F10" s="124"/>
      <c r="G10" s="14" t="s">
        <v>185</v>
      </c>
      <c r="H10" s="38">
        <f>MIN(B2:B151)</f>
        <v>1</v>
      </c>
      <c r="J10" s="44">
        <v>9</v>
      </c>
      <c r="K10" s="50">
        <v>3.68</v>
      </c>
      <c r="L10" s="50">
        <v>4</v>
      </c>
      <c r="M10" s="46">
        <v>3.84</v>
      </c>
      <c r="N10" s="51">
        <v>10</v>
      </c>
      <c r="O10" s="47">
        <v>98</v>
      </c>
      <c r="P10" s="48">
        <v>0.06</v>
      </c>
      <c r="Q10" s="48">
        <v>0.65</v>
      </c>
    </row>
    <row r="11" spans="2:44">
      <c r="B11" s="1">
        <v>2.5</v>
      </c>
      <c r="C11" s="1">
        <v>6.3</v>
      </c>
      <c r="D11" s="1">
        <v>4.2</v>
      </c>
      <c r="F11" s="124"/>
      <c r="G11" s="14" t="s">
        <v>186</v>
      </c>
      <c r="H11" s="38">
        <f>MAX(B2:B151)</f>
        <v>5</v>
      </c>
      <c r="J11" s="49">
        <v>10</v>
      </c>
      <c r="K11" s="50">
        <v>4.01</v>
      </c>
      <c r="L11" s="50">
        <v>4.33</v>
      </c>
      <c r="M11" s="46">
        <v>4.17</v>
      </c>
      <c r="N11" s="51">
        <v>8</v>
      </c>
      <c r="O11" s="47">
        <v>106</v>
      </c>
      <c r="P11" s="48">
        <v>0.05</v>
      </c>
      <c r="Q11" s="48">
        <v>0.7</v>
      </c>
    </row>
    <row r="12" spans="2:44">
      <c r="B12" s="1">
        <v>4</v>
      </c>
      <c r="C12" s="1">
        <v>5.8</v>
      </c>
      <c r="D12" s="1">
        <v>5</v>
      </c>
      <c r="F12" s="124"/>
      <c r="G12" s="14" t="s">
        <v>187</v>
      </c>
      <c r="H12" s="15">
        <f>SUM(B2:B151)</f>
        <v>459.5</v>
      </c>
      <c r="J12" s="44">
        <v>11</v>
      </c>
      <c r="K12" s="50">
        <v>4.34</v>
      </c>
      <c r="L12" s="50">
        <v>4.67</v>
      </c>
      <c r="M12" s="46">
        <v>4.5049999999999999</v>
      </c>
      <c r="N12" s="51">
        <v>11</v>
      </c>
      <c r="O12" s="47">
        <v>117</v>
      </c>
      <c r="P12" s="48">
        <v>7.0000000000000007E-2</v>
      </c>
      <c r="Q12" s="48">
        <v>0.78</v>
      </c>
    </row>
    <row r="13" spans="2:44">
      <c r="B13" s="1">
        <v>2</v>
      </c>
      <c r="C13" s="1">
        <v>5.8</v>
      </c>
      <c r="D13" s="1">
        <v>4.2</v>
      </c>
      <c r="F13" s="125"/>
      <c r="G13" s="16" t="s">
        <v>188</v>
      </c>
      <c r="H13" s="17">
        <f>COUNT(B2:B151)</f>
        <v>150</v>
      </c>
      <c r="J13" s="49">
        <v>12</v>
      </c>
      <c r="K13" s="50">
        <v>4.68</v>
      </c>
      <c r="L13" s="50">
        <v>5</v>
      </c>
      <c r="M13" s="46">
        <v>4.84</v>
      </c>
      <c r="N13" s="51">
        <v>13</v>
      </c>
      <c r="O13" s="47">
        <v>130</v>
      </c>
      <c r="P13" s="48">
        <v>0.09</v>
      </c>
      <c r="Q13" s="48">
        <v>0.87</v>
      </c>
    </row>
    <row r="14" spans="2:44">
      <c r="B14" s="1">
        <v>2</v>
      </c>
      <c r="C14" s="1">
        <v>4.5</v>
      </c>
      <c r="D14" s="1">
        <v>5</v>
      </c>
      <c r="J14" s="91" t="s">
        <v>189</v>
      </c>
      <c r="K14" s="92"/>
      <c r="L14" s="92"/>
      <c r="M14" s="93"/>
      <c r="N14" s="94">
        <v>150</v>
      </c>
      <c r="O14" s="95"/>
      <c r="P14" s="96">
        <v>1</v>
      </c>
      <c r="Q14" s="96">
        <v>1</v>
      </c>
    </row>
    <row r="15" spans="2:44">
      <c r="B15" s="1">
        <v>3.5</v>
      </c>
      <c r="C15" s="1">
        <v>5.8</v>
      </c>
      <c r="D15" s="1">
        <v>4.2</v>
      </c>
      <c r="F15" s="20" t="s">
        <v>190</v>
      </c>
      <c r="G15">
        <f>SQRT(H13)</f>
        <v>12.24744871391589</v>
      </c>
      <c r="H15" s="2">
        <v>12</v>
      </c>
      <c r="J15" s="98"/>
      <c r="K15" s="99"/>
      <c r="L15" s="99"/>
      <c r="M15" s="100"/>
      <c r="N15" s="101"/>
      <c r="O15" s="98"/>
      <c r="P15" s="98"/>
      <c r="Q15" s="98"/>
    </row>
    <row r="16" spans="2:44">
      <c r="B16" s="1">
        <v>5</v>
      </c>
      <c r="C16" s="1">
        <v>5.8</v>
      </c>
      <c r="D16" s="1">
        <v>5</v>
      </c>
      <c r="F16" s="20" t="s">
        <v>191</v>
      </c>
      <c r="H16">
        <f>H15/H9</f>
        <v>3</v>
      </c>
      <c r="J16" s="2"/>
      <c r="K16" s="52"/>
      <c r="L16" s="52"/>
      <c r="M16" s="53"/>
      <c r="N16" s="97"/>
      <c r="O16" s="28"/>
      <c r="P16" s="28"/>
      <c r="Q16" s="28"/>
    </row>
    <row r="17" spans="2:17">
      <c r="B17" s="1">
        <v>2</v>
      </c>
      <c r="C17" s="1">
        <v>4.7</v>
      </c>
      <c r="D17" s="1">
        <v>4.2</v>
      </c>
      <c r="J17" s="28"/>
      <c r="K17" s="52"/>
      <c r="L17" s="52"/>
      <c r="M17" s="53"/>
      <c r="N17" s="97"/>
      <c r="O17" s="28"/>
      <c r="P17" s="28"/>
      <c r="Q17" s="28"/>
    </row>
    <row r="18" spans="2:17">
      <c r="B18" s="1">
        <v>4</v>
      </c>
      <c r="C18" s="1">
        <v>5.0999999999999996</v>
      </c>
      <c r="D18" s="1">
        <v>5</v>
      </c>
      <c r="N18" s="36"/>
      <c r="O18" s="28"/>
      <c r="P18" s="28"/>
      <c r="Q18" s="28"/>
    </row>
    <row r="19" spans="2:17">
      <c r="B19" s="1">
        <v>2</v>
      </c>
      <c r="C19" s="1">
        <v>6.6</v>
      </c>
      <c r="D19" s="1">
        <v>4.2</v>
      </c>
      <c r="N19" s="40"/>
    </row>
    <row r="20" spans="2:17">
      <c r="B20" s="1">
        <v>2</v>
      </c>
      <c r="C20" s="1">
        <v>6.3</v>
      </c>
      <c r="D20" s="1">
        <v>4.2</v>
      </c>
    </row>
    <row r="21" spans="2:17">
      <c r="B21" s="1">
        <v>3</v>
      </c>
      <c r="C21" s="1">
        <v>7</v>
      </c>
      <c r="D21" s="1">
        <v>5</v>
      </c>
      <c r="J21" s="129"/>
      <c r="K21" s="129"/>
      <c r="L21" s="129"/>
      <c r="M21" s="129"/>
      <c r="N21" s="129"/>
      <c r="O21" s="129"/>
      <c r="P21" s="129"/>
      <c r="Q21" s="129"/>
    </row>
    <row r="22" spans="2:17">
      <c r="B22" s="1">
        <v>2.5</v>
      </c>
      <c r="C22" s="1">
        <v>5.4</v>
      </c>
      <c r="D22" s="1">
        <v>3.8</v>
      </c>
      <c r="F22" s="126" t="s">
        <v>166</v>
      </c>
      <c r="G22" s="6" t="s">
        <v>167</v>
      </c>
      <c r="H22" s="7">
        <f>MEDIAN(B43:B192)</f>
        <v>3</v>
      </c>
      <c r="J22" s="88" t="s">
        <v>168</v>
      </c>
      <c r="K22" s="88" t="s">
        <v>169</v>
      </c>
      <c r="L22" s="89" t="s">
        <v>170</v>
      </c>
      <c r="M22" s="88" t="s">
        <v>171</v>
      </c>
      <c r="N22" s="90" t="s">
        <v>172</v>
      </c>
      <c r="O22" s="88" t="s">
        <v>173</v>
      </c>
      <c r="P22" s="88" t="s">
        <v>174</v>
      </c>
      <c r="Q22" s="88" t="s">
        <v>175</v>
      </c>
    </row>
    <row r="23" spans="2:17">
      <c r="B23" s="1">
        <v>1.5</v>
      </c>
      <c r="C23" s="1">
        <v>4.5</v>
      </c>
      <c r="D23" s="1">
        <v>5</v>
      </c>
      <c r="F23" s="127"/>
      <c r="G23" s="8" t="s">
        <v>176</v>
      </c>
      <c r="H23" s="9">
        <f>STDEV(B43:B192)</f>
        <v>1.1877553734028024</v>
      </c>
      <c r="J23" s="19">
        <v>1</v>
      </c>
      <c r="K23" s="22">
        <v>4.5</v>
      </c>
      <c r="L23" s="22">
        <v>4.75</v>
      </c>
      <c r="M23" s="24">
        <v>4.625</v>
      </c>
      <c r="N23" s="81">
        <v>21</v>
      </c>
      <c r="O23" s="25">
        <v>21</v>
      </c>
      <c r="P23" s="43">
        <v>0.14000000000000001</v>
      </c>
      <c r="Q23" s="43">
        <v>0.14000000000000001</v>
      </c>
    </row>
    <row r="24" spans="2:17">
      <c r="B24" s="1">
        <v>3.5</v>
      </c>
      <c r="C24" s="1">
        <v>6.3</v>
      </c>
      <c r="D24" s="1">
        <v>4.2</v>
      </c>
      <c r="F24" s="127"/>
      <c r="G24" s="8" t="s">
        <v>177</v>
      </c>
      <c r="H24" s="10">
        <f>AVERAGE(B43:B192)</f>
        <v>3.0596330275229358</v>
      </c>
      <c r="J24" s="18">
        <v>2</v>
      </c>
      <c r="K24" s="23">
        <v>4.76</v>
      </c>
      <c r="L24" s="23">
        <v>5</v>
      </c>
      <c r="M24" s="24">
        <v>4.88</v>
      </c>
      <c r="N24" s="81">
        <v>20</v>
      </c>
      <c r="O24" s="25">
        <v>41</v>
      </c>
      <c r="P24" s="43">
        <v>0.13</v>
      </c>
      <c r="Q24" s="43">
        <v>0.27</v>
      </c>
    </row>
    <row r="25" spans="2:17">
      <c r="B25" s="1">
        <v>5</v>
      </c>
      <c r="C25" s="1">
        <v>6.9</v>
      </c>
      <c r="D25" s="1">
        <v>5</v>
      </c>
      <c r="F25" s="128"/>
      <c r="G25" s="11" t="s">
        <v>178</v>
      </c>
      <c r="H25" s="12">
        <f>MODE(D2:D151)</f>
        <v>5</v>
      </c>
      <c r="J25" s="19">
        <v>3</v>
      </c>
      <c r="K25" s="23">
        <v>5.01</v>
      </c>
      <c r="L25" s="23">
        <v>5.25</v>
      </c>
      <c r="M25" s="24">
        <v>5.13</v>
      </c>
      <c r="N25" s="81">
        <v>23</v>
      </c>
      <c r="O25" s="25">
        <v>64</v>
      </c>
      <c r="P25" s="43">
        <v>0.15</v>
      </c>
      <c r="Q25" s="43">
        <v>0.43</v>
      </c>
    </row>
    <row r="26" spans="2:17">
      <c r="B26" s="1">
        <v>3</v>
      </c>
      <c r="C26" s="1">
        <v>6.3</v>
      </c>
      <c r="D26" s="1">
        <v>4.2</v>
      </c>
      <c r="F26" s="123" t="s">
        <v>179</v>
      </c>
      <c r="G26" s="13" t="s">
        <v>180</v>
      </c>
      <c r="H26" s="7">
        <f>_xlfn.STDEV.S(B43:B192)</f>
        <v>1.1877553734028024</v>
      </c>
      <c r="J26" s="18">
        <v>4</v>
      </c>
      <c r="K26" s="23">
        <v>5.26</v>
      </c>
      <c r="L26" s="23">
        <v>5.5</v>
      </c>
      <c r="M26" s="24">
        <v>5.38</v>
      </c>
      <c r="N26" s="81">
        <v>15</v>
      </c>
      <c r="O26" s="25">
        <v>79</v>
      </c>
      <c r="P26" s="43">
        <v>0.1</v>
      </c>
      <c r="Q26" s="43">
        <v>0.53</v>
      </c>
    </row>
    <row r="27" spans="2:17">
      <c r="B27" s="1">
        <v>5</v>
      </c>
      <c r="C27" s="1">
        <v>6.9</v>
      </c>
      <c r="D27" s="1">
        <v>5</v>
      </c>
      <c r="F27" s="124"/>
      <c r="G27" s="14" t="s">
        <v>181</v>
      </c>
      <c r="H27" s="15">
        <f>VAR(B43:B192)</f>
        <v>1.4107628270472303</v>
      </c>
      <c r="J27" s="19">
        <v>5</v>
      </c>
      <c r="K27" s="23">
        <v>5.51</v>
      </c>
      <c r="L27" s="23">
        <v>5.75</v>
      </c>
      <c r="M27" s="24">
        <v>5.63</v>
      </c>
      <c r="N27" s="81">
        <v>19</v>
      </c>
      <c r="O27" s="25">
        <v>98</v>
      </c>
      <c r="P27" s="43">
        <v>0.13</v>
      </c>
      <c r="Q27" s="43">
        <v>0.65</v>
      </c>
    </row>
    <row r="28" spans="2:17">
      <c r="B28" s="1">
        <v>5</v>
      </c>
      <c r="C28" s="1">
        <v>6.9</v>
      </c>
      <c r="D28" s="1">
        <v>4.2</v>
      </c>
      <c r="F28" s="124"/>
      <c r="G28" s="14" t="s">
        <v>182</v>
      </c>
      <c r="H28" s="15">
        <f>KURT(B43:B192)</f>
        <v>-0.7350838143464391</v>
      </c>
      <c r="J28" s="18">
        <v>6</v>
      </c>
      <c r="K28" s="23">
        <v>5.76</v>
      </c>
      <c r="L28" s="23">
        <v>6</v>
      </c>
      <c r="M28" s="24">
        <v>5.88</v>
      </c>
      <c r="N28" s="81">
        <v>18</v>
      </c>
      <c r="O28" s="25">
        <v>116</v>
      </c>
      <c r="P28" s="43">
        <v>0.12</v>
      </c>
      <c r="Q28" s="43">
        <v>0.77</v>
      </c>
    </row>
    <row r="29" spans="2:17">
      <c r="B29" s="1">
        <v>4</v>
      </c>
      <c r="C29" s="1">
        <v>5.5</v>
      </c>
      <c r="D29" s="1">
        <v>4.2</v>
      </c>
      <c r="F29" s="124"/>
      <c r="G29" s="14" t="s">
        <v>183</v>
      </c>
      <c r="H29" s="15">
        <f>SKEW(B43:B192)</f>
        <v>-0.18663578509477063</v>
      </c>
      <c r="J29" s="19">
        <v>7</v>
      </c>
      <c r="K29" s="23">
        <v>6.01</v>
      </c>
      <c r="L29" s="23">
        <v>6.25</v>
      </c>
      <c r="M29" s="24">
        <v>6.13</v>
      </c>
      <c r="N29" s="81">
        <v>15</v>
      </c>
      <c r="O29" s="25">
        <v>131</v>
      </c>
      <c r="P29" s="43">
        <v>0.1</v>
      </c>
      <c r="Q29" s="43">
        <v>0.87</v>
      </c>
    </row>
    <row r="30" spans="2:17">
      <c r="B30" s="1">
        <v>1</v>
      </c>
      <c r="C30" s="1">
        <v>6</v>
      </c>
      <c r="D30" s="1">
        <v>5</v>
      </c>
      <c r="F30" s="124"/>
      <c r="G30" s="14" t="s">
        <v>184</v>
      </c>
      <c r="H30" s="9">
        <f>H32-H31</f>
        <v>4</v>
      </c>
      <c r="J30" s="18">
        <v>8</v>
      </c>
      <c r="K30" s="23">
        <v>6.26</v>
      </c>
      <c r="L30" s="23">
        <v>6.5</v>
      </c>
      <c r="M30" s="24">
        <v>6.38</v>
      </c>
      <c r="N30" s="81">
        <v>15</v>
      </c>
      <c r="O30" s="25">
        <v>146</v>
      </c>
      <c r="P30" s="43">
        <v>0.1</v>
      </c>
      <c r="Q30" s="43">
        <v>0.97</v>
      </c>
    </row>
    <row r="31" spans="2:17">
      <c r="B31" s="1">
        <v>4</v>
      </c>
      <c r="C31" s="1">
        <v>6</v>
      </c>
      <c r="D31" s="1">
        <v>5</v>
      </c>
      <c r="F31" s="124"/>
      <c r="G31" s="14" t="s">
        <v>185</v>
      </c>
      <c r="H31" s="10">
        <f>MIN(B43:B192)</f>
        <v>1</v>
      </c>
      <c r="J31" s="19">
        <v>9</v>
      </c>
      <c r="K31" s="23">
        <v>6.51</v>
      </c>
      <c r="L31" s="23">
        <v>6.75</v>
      </c>
      <c r="M31" s="24">
        <v>6.63</v>
      </c>
      <c r="N31" s="81">
        <v>14</v>
      </c>
      <c r="O31" s="25">
        <v>160</v>
      </c>
      <c r="P31" s="43">
        <v>0.09</v>
      </c>
      <c r="Q31" s="43">
        <v>1.07</v>
      </c>
    </row>
    <row r="32" spans="2:17">
      <c r="B32" s="1">
        <v>3</v>
      </c>
      <c r="C32" s="1">
        <v>6</v>
      </c>
      <c r="D32" s="1">
        <v>3.8</v>
      </c>
      <c r="F32" s="124"/>
      <c r="G32" s="14" t="s">
        <v>186</v>
      </c>
      <c r="H32" s="10">
        <f>MAX(B43:B192)</f>
        <v>5</v>
      </c>
      <c r="J32" s="18">
        <v>10</v>
      </c>
      <c r="K32" s="23">
        <v>6.76</v>
      </c>
      <c r="L32" s="23">
        <v>7</v>
      </c>
      <c r="M32" s="24">
        <v>6.88</v>
      </c>
      <c r="N32" s="81">
        <v>9</v>
      </c>
      <c r="O32" s="25">
        <v>169</v>
      </c>
      <c r="P32" s="43">
        <v>0.06</v>
      </c>
      <c r="Q32" s="43">
        <v>1.1299999999999999</v>
      </c>
    </row>
    <row r="33" spans="2:17">
      <c r="B33" s="1">
        <v>1</v>
      </c>
      <c r="C33" s="1">
        <v>6</v>
      </c>
      <c r="D33" s="1">
        <v>4.2</v>
      </c>
      <c r="F33" s="124"/>
      <c r="G33" s="14" t="s">
        <v>187</v>
      </c>
      <c r="H33" s="9">
        <f>SUM(B43:B192)</f>
        <v>333.5</v>
      </c>
      <c r="J33" s="19">
        <v>11</v>
      </c>
      <c r="K33" s="23">
        <v>7.01</v>
      </c>
      <c r="L33" s="23">
        <v>7.25</v>
      </c>
      <c r="M33" s="24">
        <v>7.13</v>
      </c>
      <c r="N33" s="81">
        <v>3</v>
      </c>
      <c r="O33" s="25">
        <v>172</v>
      </c>
      <c r="P33" s="43">
        <v>0.02</v>
      </c>
      <c r="Q33" s="43">
        <v>1.1499999999999999</v>
      </c>
    </row>
    <row r="34" spans="2:17">
      <c r="B34" s="1">
        <v>1</v>
      </c>
      <c r="C34" s="1">
        <v>6.9</v>
      </c>
      <c r="D34" s="1">
        <v>3.8</v>
      </c>
      <c r="F34" s="125"/>
      <c r="G34" s="16" t="s">
        <v>188</v>
      </c>
      <c r="H34" s="17">
        <f>COUNT(B43:B192)</f>
        <v>109</v>
      </c>
      <c r="J34" s="18">
        <v>12</v>
      </c>
      <c r="K34" s="54">
        <v>7.26</v>
      </c>
      <c r="L34" s="54">
        <v>7.5</v>
      </c>
      <c r="M34" s="55">
        <v>7.38</v>
      </c>
      <c r="N34" s="84">
        <v>3</v>
      </c>
      <c r="O34" s="27">
        <v>175</v>
      </c>
      <c r="P34" s="56">
        <v>0.02</v>
      </c>
      <c r="Q34" s="56">
        <v>1.17</v>
      </c>
    </row>
    <row r="35" spans="2:17">
      <c r="B35" s="1">
        <v>4</v>
      </c>
      <c r="C35" s="1">
        <v>5.8</v>
      </c>
      <c r="D35" s="1">
        <v>4.2</v>
      </c>
      <c r="J35" s="66" t="s">
        <v>189</v>
      </c>
      <c r="K35" s="57"/>
      <c r="L35" s="57"/>
      <c r="M35" s="58"/>
      <c r="N35" s="81">
        <v>175</v>
      </c>
      <c r="O35" s="59"/>
      <c r="P35" s="60">
        <v>1</v>
      </c>
      <c r="Q35" s="61"/>
    </row>
    <row r="36" spans="2:17">
      <c r="B36" s="1">
        <v>1</v>
      </c>
      <c r="C36" s="1">
        <v>5.8</v>
      </c>
      <c r="D36" s="1">
        <v>5</v>
      </c>
      <c r="F36" s="20" t="s">
        <v>190</v>
      </c>
      <c r="G36">
        <f>SQRT(H34)</f>
        <v>10.440306508910551</v>
      </c>
      <c r="H36" s="2">
        <v>12</v>
      </c>
      <c r="J36" s="28"/>
      <c r="K36" s="52"/>
      <c r="L36" s="52"/>
      <c r="M36" s="53"/>
      <c r="O36" s="28"/>
      <c r="P36" s="28"/>
      <c r="Q36" s="28"/>
    </row>
    <row r="37" spans="2:17">
      <c r="B37" s="1">
        <v>4.5</v>
      </c>
      <c r="C37" s="1">
        <v>6.3</v>
      </c>
      <c r="D37" s="1">
        <v>5</v>
      </c>
      <c r="F37" s="20" t="s">
        <v>191</v>
      </c>
      <c r="H37" s="21">
        <f>H30/H36</f>
        <v>0.33333333333333331</v>
      </c>
      <c r="J37" s="2"/>
      <c r="K37" s="52"/>
      <c r="L37" s="52"/>
      <c r="M37" s="53"/>
      <c r="O37" s="28"/>
      <c r="P37" s="28"/>
      <c r="Q37" s="28"/>
    </row>
    <row r="38" spans="2:17">
      <c r="B38" s="1">
        <v>2</v>
      </c>
      <c r="C38" s="1">
        <v>6</v>
      </c>
      <c r="D38" s="1">
        <v>3.8</v>
      </c>
      <c r="J38" s="62"/>
      <c r="K38" s="63"/>
      <c r="L38" s="63"/>
      <c r="M38" s="64"/>
      <c r="N38" s="65"/>
      <c r="O38" s="62"/>
      <c r="P38" s="62"/>
      <c r="Q38" s="62"/>
    </row>
    <row r="39" spans="2:17">
      <c r="B39" s="1">
        <v>5</v>
      </c>
      <c r="C39" s="1">
        <v>6.8</v>
      </c>
      <c r="D39" s="1">
        <v>3.8</v>
      </c>
      <c r="J39" s="85" t="s">
        <v>168</v>
      </c>
      <c r="K39" s="85" t="s">
        <v>169</v>
      </c>
      <c r="L39" s="86" t="s">
        <v>170</v>
      </c>
      <c r="M39" s="85" t="s">
        <v>171</v>
      </c>
      <c r="N39" s="87" t="s">
        <v>172</v>
      </c>
      <c r="O39" s="85" t="s">
        <v>173</v>
      </c>
      <c r="P39" s="85" t="s">
        <v>174</v>
      </c>
      <c r="Q39" s="85" t="s">
        <v>175</v>
      </c>
    </row>
    <row r="40" spans="2:17">
      <c r="B40" s="1">
        <v>3</v>
      </c>
      <c r="C40" s="1">
        <v>5.0999999999999996</v>
      </c>
      <c r="D40" s="1">
        <v>5</v>
      </c>
      <c r="F40" s="126" t="s">
        <v>166</v>
      </c>
      <c r="G40" s="6" t="s">
        <v>167</v>
      </c>
      <c r="H40" s="7">
        <f>MEDIAN(D2:D151)</f>
        <v>4.2</v>
      </c>
      <c r="J40" s="19">
        <v>1</v>
      </c>
      <c r="K40" s="22">
        <v>3.7</v>
      </c>
      <c r="L40" s="22">
        <v>3.8050000000000002</v>
      </c>
      <c r="M40" s="24">
        <v>3.7524999999999999</v>
      </c>
      <c r="N40" s="81">
        <v>5</v>
      </c>
      <c r="O40" s="25">
        <v>5</v>
      </c>
      <c r="P40" s="43">
        <v>0.05</v>
      </c>
      <c r="Q40" s="43">
        <v>0.05</v>
      </c>
    </row>
    <row r="41" spans="2:17">
      <c r="B41" s="1">
        <v>4</v>
      </c>
      <c r="C41" s="1">
        <v>5.8</v>
      </c>
      <c r="D41" s="1">
        <v>3.7</v>
      </c>
      <c r="F41" s="127"/>
      <c r="G41" s="8" t="s">
        <v>176</v>
      </c>
      <c r="H41" s="9">
        <f>STDEV(D2:D151)</f>
        <v>0.49154324845394931</v>
      </c>
      <c r="J41" s="18">
        <v>2</v>
      </c>
      <c r="K41" s="23">
        <v>3.806</v>
      </c>
      <c r="L41" s="23">
        <v>3.911</v>
      </c>
      <c r="M41" s="24">
        <v>3.8584999999999998</v>
      </c>
      <c r="N41" s="81">
        <v>10</v>
      </c>
      <c r="O41" s="25">
        <v>15</v>
      </c>
      <c r="P41" s="43">
        <v>0.1</v>
      </c>
      <c r="Q41" s="43">
        <v>0.15</v>
      </c>
    </row>
    <row r="42" spans="2:17">
      <c r="B42" s="1">
        <v>1</v>
      </c>
      <c r="C42" s="1">
        <v>7</v>
      </c>
      <c r="D42" s="1">
        <v>3.7</v>
      </c>
      <c r="F42" s="127"/>
      <c r="G42" s="8" t="s">
        <v>177</v>
      </c>
      <c r="H42" s="10">
        <f>AVERAGE(D2:D151)</f>
        <v>4.4860000000000015</v>
      </c>
      <c r="J42" s="19">
        <v>3</v>
      </c>
      <c r="K42" s="23">
        <v>3.9119999999999999</v>
      </c>
      <c r="L42" s="23">
        <v>4.0170000000000003</v>
      </c>
      <c r="M42" s="24">
        <v>3.9645000000000001</v>
      </c>
      <c r="N42" s="81">
        <v>13</v>
      </c>
      <c r="O42" s="25">
        <v>28</v>
      </c>
      <c r="P42" s="43">
        <v>0.13</v>
      </c>
      <c r="Q42" s="43">
        <v>0.28000000000000003</v>
      </c>
    </row>
    <row r="43" spans="2:17">
      <c r="B43" s="1">
        <v>3</v>
      </c>
      <c r="C43" s="1">
        <v>4.7</v>
      </c>
      <c r="D43" s="1">
        <v>5</v>
      </c>
      <c r="F43" s="128"/>
      <c r="G43" s="11" t="s">
        <v>178</v>
      </c>
      <c r="H43" s="12">
        <f>MODE(B61:B210)</f>
        <v>3</v>
      </c>
      <c r="J43" s="18">
        <v>4</v>
      </c>
      <c r="K43" s="23">
        <v>4.0179999999999998</v>
      </c>
      <c r="L43" s="23">
        <v>4.1230000000000002</v>
      </c>
      <c r="M43" s="24">
        <v>4.0705</v>
      </c>
      <c r="N43" s="81">
        <v>10</v>
      </c>
      <c r="O43" s="25">
        <v>38</v>
      </c>
      <c r="P43" s="43">
        <v>0.1</v>
      </c>
      <c r="Q43" s="43">
        <v>0.38</v>
      </c>
    </row>
    <row r="44" spans="2:17">
      <c r="B44" s="1">
        <v>5</v>
      </c>
      <c r="C44" s="1">
        <v>5.8</v>
      </c>
      <c r="D44" s="1">
        <v>5</v>
      </c>
      <c r="F44" s="123" t="s">
        <v>179</v>
      </c>
      <c r="G44" s="13" t="s">
        <v>180</v>
      </c>
      <c r="H44" s="7">
        <f>_xlfn.STDEV.S(D2:D151)</f>
        <v>0.49154324845394931</v>
      </c>
      <c r="J44" s="19">
        <v>5</v>
      </c>
      <c r="K44" s="23">
        <v>4.1239999999999997</v>
      </c>
      <c r="L44" s="23">
        <v>4.2290000000000001</v>
      </c>
      <c r="M44" s="24">
        <v>4.1764999999999999</v>
      </c>
      <c r="N44" s="81">
        <v>10</v>
      </c>
      <c r="O44" s="25">
        <v>48</v>
      </c>
      <c r="P44" s="43">
        <v>0.1</v>
      </c>
      <c r="Q44" s="43">
        <v>0.48</v>
      </c>
    </row>
    <row r="45" spans="2:17">
      <c r="B45" s="1">
        <v>3</v>
      </c>
      <c r="C45" s="1">
        <v>6.3</v>
      </c>
      <c r="D45" s="1">
        <v>4.2</v>
      </c>
      <c r="F45" s="124"/>
      <c r="G45" s="14" t="s">
        <v>181</v>
      </c>
      <c r="H45" s="15">
        <f>VAR(D2:D151)</f>
        <v>0.24161476510066096</v>
      </c>
      <c r="J45" s="18">
        <v>6</v>
      </c>
      <c r="K45" s="23">
        <v>4.2300000000000004</v>
      </c>
      <c r="L45" s="23">
        <v>4.335</v>
      </c>
      <c r="M45" s="24">
        <v>4.2824999999999998</v>
      </c>
      <c r="N45" s="81">
        <v>17</v>
      </c>
      <c r="O45" s="25">
        <v>65</v>
      </c>
      <c r="P45" s="43">
        <v>0.17</v>
      </c>
      <c r="Q45" s="43">
        <v>0.65</v>
      </c>
    </row>
    <row r="46" spans="2:17">
      <c r="B46" s="1">
        <v>4</v>
      </c>
      <c r="C46" s="1">
        <v>6</v>
      </c>
      <c r="D46" s="1">
        <v>3.8</v>
      </c>
      <c r="F46" s="124"/>
      <c r="G46" s="14" t="s">
        <v>182</v>
      </c>
      <c r="H46" s="15">
        <f>KURT(D2:D151)</f>
        <v>-1.6503204715689437</v>
      </c>
      <c r="J46" s="19">
        <v>7</v>
      </c>
      <c r="K46" s="23">
        <v>4.3360000000000003</v>
      </c>
      <c r="L46" s="23">
        <v>4.4409999999999998</v>
      </c>
      <c r="M46" s="24">
        <v>4.3884999999999996</v>
      </c>
      <c r="N46" s="81">
        <v>6</v>
      </c>
      <c r="O46" s="25">
        <v>71</v>
      </c>
      <c r="P46" s="43">
        <v>0.06</v>
      </c>
      <c r="Q46" s="43">
        <v>0.71</v>
      </c>
    </row>
    <row r="47" spans="2:17">
      <c r="B47" s="1">
        <v>4</v>
      </c>
      <c r="C47" s="1">
        <v>6.3</v>
      </c>
      <c r="D47" s="1">
        <v>3.8</v>
      </c>
      <c r="F47" s="124"/>
      <c r="G47" s="14" t="s">
        <v>183</v>
      </c>
      <c r="H47" s="15">
        <f>SKEW(D2:D151)</f>
        <v>-8.9150714495216304E-2</v>
      </c>
      <c r="J47" s="18">
        <v>8</v>
      </c>
      <c r="K47" s="23">
        <v>4.4420000000000002</v>
      </c>
      <c r="L47" s="23">
        <v>4.5469999999999997</v>
      </c>
      <c r="M47" s="24">
        <v>4.4945000000000004</v>
      </c>
      <c r="N47" s="81">
        <v>8</v>
      </c>
      <c r="O47" s="25">
        <v>79</v>
      </c>
      <c r="P47" s="43">
        <v>0.08</v>
      </c>
      <c r="Q47" s="43">
        <v>0.79</v>
      </c>
    </row>
    <row r="48" spans="2:17">
      <c r="B48" s="1">
        <v>2.5</v>
      </c>
      <c r="C48" s="1">
        <v>6.8</v>
      </c>
      <c r="D48" s="1">
        <v>5</v>
      </c>
      <c r="F48" s="124"/>
      <c r="G48" s="14" t="s">
        <v>184</v>
      </c>
      <c r="H48" s="9">
        <f>H50-H49</f>
        <v>1.2999999999999998</v>
      </c>
      <c r="J48" s="19">
        <v>9</v>
      </c>
      <c r="K48" s="23">
        <v>4.548</v>
      </c>
      <c r="L48" s="23">
        <v>4.6529999999999996</v>
      </c>
      <c r="M48" s="24">
        <v>4.6005000000000003</v>
      </c>
      <c r="N48" s="81">
        <v>8</v>
      </c>
      <c r="O48" s="25">
        <v>87</v>
      </c>
      <c r="P48" s="43">
        <v>0.08</v>
      </c>
      <c r="Q48" s="43">
        <v>0.87</v>
      </c>
    </row>
    <row r="49" spans="2:17">
      <c r="B49" s="1">
        <v>1</v>
      </c>
      <c r="C49" s="1">
        <v>4.5</v>
      </c>
      <c r="D49" s="1">
        <v>4.2</v>
      </c>
      <c r="F49" s="124"/>
      <c r="G49" s="14" t="s">
        <v>185</v>
      </c>
      <c r="H49" s="10">
        <f>MIN(D2:D151)</f>
        <v>3.7</v>
      </c>
      <c r="J49" s="18">
        <v>10</v>
      </c>
      <c r="K49" s="23">
        <v>4.6539999999999999</v>
      </c>
      <c r="L49" s="23">
        <v>4.7590000000000003</v>
      </c>
      <c r="M49" s="24">
        <v>4.7065000000000001</v>
      </c>
      <c r="N49" s="81">
        <v>8</v>
      </c>
      <c r="O49" s="25">
        <v>95</v>
      </c>
      <c r="P49" s="43">
        <v>0.08</v>
      </c>
      <c r="Q49" s="43">
        <v>0.95</v>
      </c>
    </row>
    <row r="50" spans="2:17">
      <c r="B50" s="1">
        <v>4</v>
      </c>
      <c r="C50" s="1">
        <v>5.0999999999999996</v>
      </c>
      <c r="D50" s="1">
        <v>5</v>
      </c>
      <c r="F50" s="124"/>
      <c r="G50" s="14" t="s">
        <v>186</v>
      </c>
      <c r="H50" s="10">
        <f>MAX(D2:D151)</f>
        <v>5</v>
      </c>
      <c r="J50" s="19">
        <v>11</v>
      </c>
      <c r="K50" s="23">
        <v>4.76</v>
      </c>
      <c r="L50" s="23">
        <v>4.8650000000000002</v>
      </c>
      <c r="M50" s="24">
        <v>4.8125</v>
      </c>
      <c r="N50" s="81">
        <v>1</v>
      </c>
      <c r="O50" s="25">
        <v>96</v>
      </c>
      <c r="P50" s="43">
        <v>0.01</v>
      </c>
      <c r="Q50" s="43">
        <v>0.96</v>
      </c>
    </row>
    <row r="51" spans="2:17">
      <c r="B51" s="1">
        <v>4</v>
      </c>
      <c r="C51" s="1">
        <v>6.3</v>
      </c>
      <c r="D51" s="1">
        <v>4.2</v>
      </c>
      <c r="F51" s="124"/>
      <c r="G51" s="14" t="s">
        <v>187</v>
      </c>
      <c r="H51" s="9">
        <f>SUM(D2:D151)</f>
        <v>672.9000000000002</v>
      </c>
      <c r="J51" s="18">
        <v>12</v>
      </c>
      <c r="K51" s="23">
        <v>4.8659999999999997</v>
      </c>
      <c r="L51" s="23">
        <v>4.9710000000000001</v>
      </c>
      <c r="M51" s="24">
        <v>4.9184999999999999</v>
      </c>
      <c r="N51" s="81">
        <v>13</v>
      </c>
      <c r="O51" s="25">
        <v>109</v>
      </c>
      <c r="P51" s="43">
        <v>0.13</v>
      </c>
      <c r="Q51" s="43">
        <v>1.0900000000000001</v>
      </c>
    </row>
    <row r="52" spans="2:17">
      <c r="B52" s="1">
        <v>3</v>
      </c>
      <c r="C52" s="1">
        <v>6</v>
      </c>
      <c r="D52" s="1">
        <v>5</v>
      </c>
      <c r="F52" s="125"/>
      <c r="G52" s="16" t="s">
        <v>188</v>
      </c>
      <c r="H52" s="17">
        <f>COUNT(D2:D151)</f>
        <v>150</v>
      </c>
      <c r="J52" s="19" t="s">
        <v>189</v>
      </c>
      <c r="K52" s="23"/>
      <c r="L52" s="23"/>
      <c r="M52" s="24"/>
      <c r="N52" s="81">
        <v>109</v>
      </c>
      <c r="O52" s="25"/>
      <c r="P52" s="43">
        <v>1</v>
      </c>
      <c r="Q52" s="18"/>
    </row>
    <row r="53" spans="2:17">
      <c r="B53" s="1">
        <v>2</v>
      </c>
      <c r="C53" s="1">
        <v>5.4</v>
      </c>
      <c r="D53" s="1">
        <v>4.2</v>
      </c>
    </row>
    <row r="54" spans="2:17">
      <c r="B54" s="1">
        <v>3.5</v>
      </c>
      <c r="C54" s="1">
        <v>6.9</v>
      </c>
      <c r="D54" s="1">
        <v>3.7</v>
      </c>
      <c r="F54" s="20" t="s">
        <v>190</v>
      </c>
      <c r="G54">
        <f>SQRT(H52)</f>
        <v>12.24744871391589</v>
      </c>
      <c r="H54" s="2">
        <v>12</v>
      </c>
    </row>
    <row r="55" spans="2:17">
      <c r="B55" s="1">
        <v>3</v>
      </c>
      <c r="C55" s="1">
        <v>5.0999999999999996</v>
      </c>
      <c r="D55" s="1">
        <v>5</v>
      </c>
      <c r="F55" s="20" t="s">
        <v>191</v>
      </c>
      <c r="H55" s="21">
        <f>H48/H54</f>
        <v>0.10833333333333332</v>
      </c>
    </row>
    <row r="56" spans="2:17">
      <c r="B56" s="1">
        <v>2</v>
      </c>
      <c r="C56" s="1">
        <v>7</v>
      </c>
      <c r="D56" s="1">
        <v>5</v>
      </c>
    </row>
    <row r="57" spans="2:17">
      <c r="B57" s="1">
        <v>1.5</v>
      </c>
      <c r="C57" s="1">
        <v>6.9</v>
      </c>
      <c r="D57" s="1">
        <v>4.2</v>
      </c>
    </row>
    <row r="58" spans="2:17">
      <c r="B58" s="1">
        <v>4</v>
      </c>
      <c r="C58" s="1">
        <v>6</v>
      </c>
      <c r="D58" s="1">
        <v>5</v>
      </c>
    </row>
    <row r="59" spans="2:17">
      <c r="B59" s="1">
        <v>3</v>
      </c>
      <c r="C59" s="1">
        <v>7</v>
      </c>
      <c r="D59" s="1">
        <v>5</v>
      </c>
    </row>
    <row r="60" spans="2:17">
      <c r="B60" s="1">
        <v>1</v>
      </c>
      <c r="C60" s="1">
        <v>5.9</v>
      </c>
      <c r="D60" s="1">
        <v>5</v>
      </c>
    </row>
    <row r="61" spans="2:17">
      <c r="B61" s="1">
        <v>2.5</v>
      </c>
      <c r="C61" s="1">
        <v>7</v>
      </c>
      <c r="D61" s="1">
        <v>4.2</v>
      </c>
    </row>
    <row r="62" spans="2:17">
      <c r="B62" s="1">
        <v>3.5</v>
      </c>
      <c r="C62" s="1">
        <v>5.4</v>
      </c>
      <c r="D62" s="1">
        <v>5</v>
      </c>
    </row>
    <row r="63" spans="2:17">
      <c r="B63" s="1">
        <v>1</v>
      </c>
      <c r="C63" s="1">
        <v>4.7</v>
      </c>
      <c r="D63" s="1">
        <v>4.2</v>
      </c>
    </row>
    <row r="64" spans="2:17">
      <c r="B64" s="1">
        <v>4</v>
      </c>
      <c r="C64" s="1">
        <v>6.9</v>
      </c>
      <c r="D64" s="1">
        <v>5</v>
      </c>
    </row>
    <row r="65" spans="2:4">
      <c r="B65" s="1">
        <v>1</v>
      </c>
      <c r="C65" s="1">
        <v>6.3</v>
      </c>
      <c r="D65" s="1">
        <v>5</v>
      </c>
    </row>
    <row r="66" spans="2:4">
      <c r="B66" s="1">
        <v>1</v>
      </c>
      <c r="C66" s="1">
        <v>6.8</v>
      </c>
      <c r="D66" s="1">
        <v>5</v>
      </c>
    </row>
    <row r="67" spans="2:4">
      <c r="B67" s="1">
        <v>3</v>
      </c>
      <c r="C67" s="1">
        <v>5.2</v>
      </c>
      <c r="D67" s="1">
        <v>5</v>
      </c>
    </row>
    <row r="68" spans="2:4">
      <c r="B68" s="1">
        <v>3.5</v>
      </c>
      <c r="C68" s="1">
        <v>6.3</v>
      </c>
      <c r="D68" s="1">
        <v>5</v>
      </c>
    </row>
    <row r="69" spans="2:4">
      <c r="B69" s="1">
        <v>3</v>
      </c>
      <c r="C69" s="1">
        <v>5.8</v>
      </c>
      <c r="D69" s="1">
        <v>3.8</v>
      </c>
    </row>
    <row r="70" spans="2:4">
      <c r="B70" s="1">
        <v>3</v>
      </c>
      <c r="C70" s="1">
        <v>5.2</v>
      </c>
      <c r="D70" s="1">
        <v>5</v>
      </c>
    </row>
    <row r="71" spans="2:4">
      <c r="B71" s="1">
        <v>4</v>
      </c>
      <c r="C71" s="1">
        <v>5.9</v>
      </c>
      <c r="D71" s="1">
        <v>5</v>
      </c>
    </row>
    <row r="72" spans="2:4">
      <c r="B72" s="1">
        <v>5</v>
      </c>
      <c r="C72" s="1">
        <v>5.8</v>
      </c>
      <c r="D72" s="1">
        <v>4.2</v>
      </c>
    </row>
    <row r="73" spans="2:4">
      <c r="B73" s="1">
        <v>2.5</v>
      </c>
      <c r="C73" s="1">
        <v>5.7</v>
      </c>
      <c r="D73" s="1">
        <v>5</v>
      </c>
    </row>
    <row r="74" spans="2:4">
      <c r="B74" s="1">
        <v>4</v>
      </c>
      <c r="C74" s="1">
        <v>6.9</v>
      </c>
      <c r="D74" s="1">
        <v>4.2</v>
      </c>
    </row>
    <row r="75" spans="2:4">
      <c r="B75" s="1">
        <v>1.5</v>
      </c>
      <c r="C75" s="1">
        <v>6.9</v>
      </c>
      <c r="D75" s="1">
        <v>5</v>
      </c>
    </row>
    <row r="76" spans="2:4">
      <c r="B76" s="1">
        <v>5</v>
      </c>
      <c r="C76" s="1">
        <v>5.4</v>
      </c>
      <c r="D76" s="1">
        <v>5</v>
      </c>
    </row>
    <row r="77" spans="2:4">
      <c r="B77" s="1">
        <v>3.5</v>
      </c>
      <c r="C77" s="1">
        <v>6.8</v>
      </c>
      <c r="D77" s="1">
        <v>3.8</v>
      </c>
    </row>
    <row r="78" spans="2:4">
      <c r="B78" s="1">
        <v>5</v>
      </c>
      <c r="C78" s="1">
        <v>6.8</v>
      </c>
      <c r="D78" s="1">
        <v>3.8</v>
      </c>
    </row>
    <row r="79" spans="2:4">
      <c r="B79" s="1">
        <v>3</v>
      </c>
      <c r="C79" s="1">
        <v>6.9</v>
      </c>
      <c r="D79" s="1">
        <v>4.2</v>
      </c>
    </row>
    <row r="80" spans="2:4">
      <c r="B80" s="1">
        <v>4</v>
      </c>
      <c r="C80" s="1">
        <v>5.5</v>
      </c>
      <c r="D80" s="1">
        <v>4.2</v>
      </c>
    </row>
    <row r="81" spans="2:4">
      <c r="B81" s="1">
        <v>2.5</v>
      </c>
      <c r="C81" s="1">
        <v>5.4</v>
      </c>
      <c r="D81" s="1">
        <v>3.8</v>
      </c>
    </row>
    <row r="82" spans="2:4">
      <c r="B82" s="1">
        <v>4</v>
      </c>
      <c r="C82" s="1">
        <v>5.7</v>
      </c>
      <c r="D82" s="1">
        <v>3.8</v>
      </c>
    </row>
    <row r="83" spans="2:4">
      <c r="B83" s="1">
        <v>3</v>
      </c>
      <c r="C83" s="1">
        <v>5.4</v>
      </c>
      <c r="D83" s="1">
        <v>4.2</v>
      </c>
    </row>
    <row r="84" spans="2:4">
      <c r="B84" s="1">
        <v>1</v>
      </c>
      <c r="C84" s="1">
        <v>5.9</v>
      </c>
      <c r="D84" s="1">
        <v>4.2</v>
      </c>
    </row>
    <row r="85" spans="2:4">
      <c r="B85" s="1">
        <v>3</v>
      </c>
      <c r="C85" s="1">
        <v>5.9</v>
      </c>
      <c r="D85" s="1">
        <v>5</v>
      </c>
    </row>
    <row r="86" spans="2:4">
      <c r="B86" s="1">
        <v>3.5</v>
      </c>
      <c r="C86" s="1">
        <v>5.9</v>
      </c>
      <c r="D86" s="1">
        <v>4.2</v>
      </c>
    </row>
    <row r="87" spans="2:4">
      <c r="B87" s="1">
        <v>5</v>
      </c>
      <c r="C87" s="1">
        <v>6.8</v>
      </c>
      <c r="D87" s="1">
        <v>5</v>
      </c>
    </row>
    <row r="88" spans="2:4">
      <c r="B88" s="1">
        <v>4</v>
      </c>
      <c r="C88" s="1">
        <v>6.9</v>
      </c>
      <c r="D88" s="1">
        <v>4.2</v>
      </c>
    </row>
    <row r="89" spans="2:4">
      <c r="B89" s="1">
        <v>3.5</v>
      </c>
      <c r="C89" s="1">
        <v>5.2</v>
      </c>
      <c r="D89" s="1">
        <v>3.8</v>
      </c>
    </row>
    <row r="90" spans="2:4">
      <c r="B90" s="1">
        <v>3.5</v>
      </c>
      <c r="C90" s="1">
        <v>7</v>
      </c>
      <c r="D90" s="1">
        <v>3.8</v>
      </c>
    </row>
    <row r="91" spans="2:4">
      <c r="B91" s="1">
        <v>3</v>
      </c>
      <c r="C91" s="1">
        <v>5.2</v>
      </c>
      <c r="D91" s="1">
        <v>4.2</v>
      </c>
    </row>
    <row r="92" spans="2:4">
      <c r="B92" s="1">
        <v>3.5</v>
      </c>
      <c r="C92" s="1">
        <v>4.7</v>
      </c>
      <c r="D92" s="1">
        <v>5</v>
      </c>
    </row>
    <row r="93" spans="2:4">
      <c r="B93" s="1">
        <v>3.5</v>
      </c>
      <c r="C93" s="1">
        <v>4.7</v>
      </c>
      <c r="D93" s="1">
        <v>5</v>
      </c>
    </row>
    <row r="94" spans="2:4">
      <c r="B94" s="1">
        <v>3</v>
      </c>
      <c r="C94" s="1">
        <v>5.8</v>
      </c>
      <c r="D94" s="1">
        <v>5</v>
      </c>
    </row>
    <row r="95" spans="2:4">
      <c r="B95" s="1">
        <v>4.5</v>
      </c>
      <c r="C95" s="1">
        <v>6.6</v>
      </c>
      <c r="D95" s="1">
        <v>5</v>
      </c>
    </row>
    <row r="96" spans="2:4">
      <c r="B96" s="1">
        <v>3</v>
      </c>
      <c r="C96" s="1">
        <v>5.8</v>
      </c>
      <c r="D96" s="1">
        <v>4.2</v>
      </c>
    </row>
    <row r="97" spans="2:4">
      <c r="B97" s="1">
        <v>5</v>
      </c>
      <c r="C97" s="1">
        <v>6.8</v>
      </c>
      <c r="D97" s="1">
        <v>5</v>
      </c>
    </row>
    <row r="98" spans="2:4">
      <c r="B98" s="1">
        <v>4</v>
      </c>
      <c r="C98" s="1">
        <v>5.7</v>
      </c>
      <c r="D98" s="1">
        <v>5</v>
      </c>
    </row>
    <row r="99" spans="2:4">
      <c r="B99" s="1">
        <v>1.5</v>
      </c>
      <c r="C99" s="1">
        <v>4.5</v>
      </c>
      <c r="D99" s="1">
        <v>3.8</v>
      </c>
    </row>
    <row r="100" spans="2:4">
      <c r="B100" s="1">
        <v>1</v>
      </c>
      <c r="C100" s="1">
        <v>5.0999999999999996</v>
      </c>
      <c r="D100" s="1">
        <v>4.2</v>
      </c>
    </row>
    <row r="101" spans="2:4">
      <c r="B101" s="1">
        <v>3</v>
      </c>
      <c r="C101" s="1">
        <v>5.8</v>
      </c>
      <c r="D101" s="1">
        <v>5</v>
      </c>
    </row>
    <row r="102" spans="2:4">
      <c r="B102" s="1">
        <v>2</v>
      </c>
      <c r="C102" s="1">
        <v>6.3</v>
      </c>
      <c r="D102" s="1">
        <v>4.2</v>
      </c>
    </row>
    <row r="103" spans="2:4">
      <c r="B103" s="1">
        <v>1</v>
      </c>
      <c r="C103" s="1">
        <v>6.8</v>
      </c>
      <c r="D103" s="1">
        <v>5</v>
      </c>
    </row>
    <row r="104" spans="2:4">
      <c r="B104" s="1">
        <v>3.5</v>
      </c>
      <c r="C104" s="1">
        <v>5.4</v>
      </c>
      <c r="D104" s="1">
        <v>4.2</v>
      </c>
    </row>
    <row r="105" spans="2:4">
      <c r="B105" s="1">
        <v>1</v>
      </c>
      <c r="C105" s="1">
        <v>6</v>
      </c>
      <c r="D105" s="1">
        <v>5</v>
      </c>
    </row>
    <row r="106" spans="2:4">
      <c r="B106" s="1">
        <v>2</v>
      </c>
      <c r="C106" s="1">
        <v>4.5</v>
      </c>
      <c r="D106" s="1">
        <v>5</v>
      </c>
    </row>
    <row r="107" spans="2:4">
      <c r="B107" s="1">
        <v>2.5</v>
      </c>
      <c r="C107" s="1">
        <v>4.5</v>
      </c>
      <c r="D107" s="1">
        <v>4.2</v>
      </c>
    </row>
    <row r="108" spans="2:4">
      <c r="B108" s="1">
        <v>4</v>
      </c>
      <c r="C108" s="1">
        <v>4.7</v>
      </c>
      <c r="D108" s="1">
        <v>4.2</v>
      </c>
    </row>
    <row r="109" spans="2:4">
      <c r="B109" s="1">
        <v>4.5</v>
      </c>
      <c r="C109" s="1">
        <v>4.5</v>
      </c>
      <c r="D109" s="1">
        <v>3.8</v>
      </c>
    </row>
    <row r="110" spans="2:4">
      <c r="B110" s="1">
        <v>1</v>
      </c>
      <c r="C110" s="1">
        <v>5.2</v>
      </c>
      <c r="D110" s="1">
        <v>4.2</v>
      </c>
    </row>
    <row r="111" spans="2:4">
      <c r="B111" s="1">
        <v>5</v>
      </c>
      <c r="C111" s="1">
        <v>5.4</v>
      </c>
      <c r="D111" s="1">
        <v>4.2</v>
      </c>
    </row>
    <row r="112" spans="2:4">
      <c r="B112" s="1">
        <v>2.5</v>
      </c>
      <c r="C112" s="1">
        <v>5.8</v>
      </c>
      <c r="D112" s="1">
        <v>5</v>
      </c>
    </row>
    <row r="113" spans="2:4">
      <c r="B113" s="1">
        <v>4.5</v>
      </c>
      <c r="C113" s="1">
        <v>6.8</v>
      </c>
      <c r="D113" s="1">
        <v>5</v>
      </c>
    </row>
    <row r="114" spans="2:4">
      <c r="B114" s="1">
        <v>4</v>
      </c>
      <c r="C114" s="1">
        <v>5.2</v>
      </c>
      <c r="D114" s="1">
        <v>4.2</v>
      </c>
    </row>
    <row r="115" spans="2:4">
      <c r="B115" s="1">
        <v>5</v>
      </c>
      <c r="C115" s="1">
        <v>5.4</v>
      </c>
      <c r="D115" s="1">
        <v>5</v>
      </c>
    </row>
    <row r="116" spans="2:4">
      <c r="B116" s="1">
        <v>2.5</v>
      </c>
      <c r="C116" s="1">
        <v>6.3</v>
      </c>
      <c r="D116" s="1">
        <v>3.8</v>
      </c>
    </row>
    <row r="117" spans="2:4">
      <c r="B117" s="1">
        <v>3</v>
      </c>
      <c r="C117" s="1">
        <v>6.3</v>
      </c>
      <c r="D117" s="1">
        <v>4.2</v>
      </c>
    </row>
    <row r="118" spans="2:4">
      <c r="B118" s="1">
        <v>3.5</v>
      </c>
      <c r="C118" s="1">
        <v>5.8</v>
      </c>
      <c r="D118" s="1">
        <v>5</v>
      </c>
    </row>
    <row r="119" spans="2:4">
      <c r="B119" s="1">
        <v>5</v>
      </c>
      <c r="C119" s="1">
        <v>6.3</v>
      </c>
      <c r="D119" s="1">
        <v>5</v>
      </c>
    </row>
    <row r="120" spans="2:4">
      <c r="B120" s="1">
        <v>1</v>
      </c>
      <c r="C120" s="1">
        <v>6.3</v>
      </c>
      <c r="D120" s="1">
        <v>5</v>
      </c>
    </row>
    <row r="121" spans="2:4">
      <c r="B121" s="1">
        <v>4</v>
      </c>
      <c r="C121" s="1">
        <v>5.8</v>
      </c>
      <c r="D121" s="1">
        <v>4.2</v>
      </c>
    </row>
    <row r="122" spans="2:4">
      <c r="B122" s="1">
        <v>2.5</v>
      </c>
      <c r="C122" s="1">
        <v>6.3</v>
      </c>
      <c r="D122" s="1">
        <v>5</v>
      </c>
    </row>
    <row r="123" spans="2:4">
      <c r="B123" s="1">
        <v>3</v>
      </c>
      <c r="C123" s="1">
        <v>5.0999999999999996</v>
      </c>
      <c r="D123" s="1">
        <v>3.8</v>
      </c>
    </row>
    <row r="124" spans="2:4">
      <c r="B124" s="1">
        <v>2.5</v>
      </c>
      <c r="C124" s="1">
        <v>5.9</v>
      </c>
      <c r="D124" s="1">
        <v>5</v>
      </c>
    </row>
    <row r="125" spans="2:4">
      <c r="B125" s="1">
        <v>1</v>
      </c>
      <c r="C125" s="1">
        <v>5.4</v>
      </c>
      <c r="D125" s="1">
        <v>4.2</v>
      </c>
    </row>
    <row r="126" spans="2:4">
      <c r="B126" s="1">
        <v>2</v>
      </c>
      <c r="C126" s="1">
        <v>6.8</v>
      </c>
      <c r="D126" s="1">
        <v>4.2</v>
      </c>
    </row>
    <row r="127" spans="2:4">
      <c r="B127" s="1">
        <v>2.5</v>
      </c>
      <c r="C127" s="1">
        <v>6.9</v>
      </c>
      <c r="D127" s="1">
        <v>5</v>
      </c>
    </row>
    <row r="128" spans="2:4">
      <c r="B128" s="1">
        <v>4</v>
      </c>
      <c r="C128" s="1">
        <v>5.9</v>
      </c>
      <c r="D128" s="1">
        <v>3.8</v>
      </c>
    </row>
    <row r="129" spans="2:4">
      <c r="B129" s="1">
        <v>3</v>
      </c>
      <c r="C129" s="1">
        <v>4.5</v>
      </c>
      <c r="D129" s="1">
        <v>5</v>
      </c>
    </row>
    <row r="130" spans="2:4">
      <c r="B130" s="1">
        <v>5</v>
      </c>
      <c r="C130" s="1">
        <v>6.3</v>
      </c>
      <c r="D130" s="1">
        <v>4.2</v>
      </c>
    </row>
    <row r="131" spans="2:4">
      <c r="B131" s="1">
        <v>3</v>
      </c>
      <c r="C131" s="1">
        <v>5.5</v>
      </c>
      <c r="D131" s="1">
        <v>5</v>
      </c>
    </row>
    <row r="132" spans="2:4">
      <c r="B132" s="1">
        <v>3.5</v>
      </c>
      <c r="C132" s="1">
        <v>5.8</v>
      </c>
      <c r="D132" s="1">
        <v>4.2</v>
      </c>
    </row>
    <row r="133" spans="2:4">
      <c r="B133" s="1">
        <v>2</v>
      </c>
      <c r="C133" s="1">
        <v>5.8</v>
      </c>
      <c r="D133" s="1">
        <v>3.8</v>
      </c>
    </row>
    <row r="134" spans="2:4">
      <c r="B134" s="1">
        <v>2.5</v>
      </c>
      <c r="C134" s="1">
        <v>6.9</v>
      </c>
      <c r="D134" s="1">
        <v>5</v>
      </c>
    </row>
    <row r="135" spans="2:4">
      <c r="B135" s="1">
        <v>3.5</v>
      </c>
      <c r="C135" s="1">
        <v>6</v>
      </c>
      <c r="D135" s="1">
        <v>5</v>
      </c>
    </row>
    <row r="136" spans="2:4">
      <c r="B136" s="1">
        <v>1</v>
      </c>
      <c r="C136" s="1">
        <v>5.8</v>
      </c>
      <c r="D136" s="1">
        <v>4.2</v>
      </c>
    </row>
    <row r="137" spans="2:4">
      <c r="B137" s="1">
        <v>4</v>
      </c>
      <c r="C137" s="1">
        <v>6.9</v>
      </c>
      <c r="D137" s="1">
        <v>4.2</v>
      </c>
    </row>
    <row r="138" spans="2:4">
      <c r="B138" s="1">
        <v>3</v>
      </c>
      <c r="C138" s="1">
        <v>5.8</v>
      </c>
      <c r="D138" s="1">
        <v>3.8</v>
      </c>
    </row>
    <row r="139" spans="2:4">
      <c r="B139" s="1">
        <v>1.5</v>
      </c>
      <c r="C139" s="1">
        <v>6</v>
      </c>
      <c r="D139" s="1">
        <v>4.2</v>
      </c>
    </row>
    <row r="140" spans="2:4">
      <c r="B140" s="1">
        <v>2.5</v>
      </c>
      <c r="C140" s="1">
        <v>5.9</v>
      </c>
      <c r="D140" s="1">
        <v>4.2</v>
      </c>
    </row>
    <row r="141" spans="2:4">
      <c r="B141" s="1">
        <v>5</v>
      </c>
      <c r="C141" s="1">
        <v>5.5</v>
      </c>
      <c r="D141" s="1">
        <v>5</v>
      </c>
    </row>
    <row r="142" spans="2:4">
      <c r="B142" s="1">
        <v>1.5</v>
      </c>
      <c r="C142" s="1">
        <v>5.8</v>
      </c>
      <c r="D142" s="1">
        <v>5</v>
      </c>
    </row>
    <row r="143" spans="2:4">
      <c r="B143" s="1">
        <v>3</v>
      </c>
      <c r="C143" s="1">
        <v>6.8</v>
      </c>
      <c r="D143" s="1">
        <v>4.2</v>
      </c>
    </row>
    <row r="144" spans="2:4">
      <c r="B144" s="1">
        <v>4</v>
      </c>
      <c r="C144" s="1">
        <v>5.9</v>
      </c>
      <c r="D144" s="1">
        <v>4.2</v>
      </c>
    </row>
    <row r="145" spans="2:4">
      <c r="B145" s="1">
        <v>3</v>
      </c>
      <c r="C145" s="1">
        <v>4.5</v>
      </c>
      <c r="D145" s="1">
        <v>4.2</v>
      </c>
    </row>
    <row r="146" spans="2:4">
      <c r="B146" s="1">
        <v>3.5</v>
      </c>
      <c r="C146" s="1">
        <v>6</v>
      </c>
      <c r="D146" s="1">
        <v>3.8</v>
      </c>
    </row>
    <row r="147" spans="2:4">
      <c r="B147" s="1">
        <v>4</v>
      </c>
      <c r="C147" s="1">
        <v>6</v>
      </c>
      <c r="D147" s="1">
        <v>5</v>
      </c>
    </row>
    <row r="148" spans="2:4">
      <c r="B148" s="1">
        <v>2</v>
      </c>
      <c r="C148" s="1">
        <v>6.8</v>
      </c>
      <c r="D148" s="1">
        <v>4.2</v>
      </c>
    </row>
    <row r="149" spans="2:4">
      <c r="B149" s="1">
        <v>5</v>
      </c>
      <c r="C149" s="1">
        <v>4.5</v>
      </c>
      <c r="D149" s="1">
        <v>5</v>
      </c>
    </row>
    <row r="150" spans="2:4">
      <c r="B150" s="1">
        <v>1.5</v>
      </c>
      <c r="C150" s="1">
        <v>6.6</v>
      </c>
      <c r="D150" s="1">
        <v>4.2</v>
      </c>
    </row>
    <row r="151" spans="2:4">
      <c r="B151" s="1">
        <v>3</v>
      </c>
      <c r="C151" s="1">
        <v>6</v>
      </c>
      <c r="D151" s="1">
        <v>3.8</v>
      </c>
    </row>
  </sheetData>
  <mergeCells count="7">
    <mergeCell ref="F44:F52"/>
    <mergeCell ref="F22:F25"/>
    <mergeCell ref="J21:Q21"/>
    <mergeCell ref="F26:F34"/>
    <mergeCell ref="F1:F4"/>
    <mergeCell ref="F5:F13"/>
    <mergeCell ref="F40:F4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883AC-826A-4EB0-B24D-EA69DDEB0ACE}">
  <dimension ref="A1:AM153"/>
  <sheetViews>
    <sheetView topLeftCell="P1" workbookViewId="0">
      <selection activeCell="AG5" sqref="AG5"/>
    </sheetView>
  </sheetViews>
  <sheetFormatPr baseColWidth="10" defaultColWidth="9.140625" defaultRowHeight="15"/>
  <cols>
    <col min="1" max="2" width="40.5703125" customWidth="1"/>
    <col min="3" max="3" width="62.28515625" customWidth="1"/>
    <col min="4" max="4" width="45" customWidth="1"/>
    <col min="5" max="5" width="20.5703125" customWidth="1"/>
    <col min="12" max="12" width="9.28515625" bestFit="1" customWidth="1"/>
    <col min="14" max="14" width="22" customWidth="1"/>
    <col min="23" max="23" width="17.28515625" customWidth="1"/>
    <col min="30" max="30" width="10.42578125" bestFit="1" customWidth="1"/>
  </cols>
  <sheetData>
    <row r="1" spans="1:39">
      <c r="A1" s="5" t="s">
        <v>3</v>
      </c>
      <c r="B1" s="5" t="s">
        <v>4</v>
      </c>
      <c r="C1" s="5" t="s">
        <v>5</v>
      </c>
      <c r="D1" s="111" t="s">
        <v>215</v>
      </c>
    </row>
    <row r="2" spans="1:39">
      <c r="A2" s="1">
        <v>3</v>
      </c>
      <c r="B2" s="1">
        <v>9</v>
      </c>
      <c r="C2" s="106">
        <v>3500</v>
      </c>
      <c r="D2" s="122">
        <v>4</v>
      </c>
      <c r="E2" s="119" t="s">
        <v>192</v>
      </c>
      <c r="F2" s="104" t="s">
        <v>172</v>
      </c>
      <c r="G2" s="104" t="s">
        <v>173</v>
      </c>
      <c r="H2" s="104" t="s">
        <v>174</v>
      </c>
      <c r="I2" s="104" t="s">
        <v>175</v>
      </c>
      <c r="K2" s="72" t="s">
        <v>193</v>
      </c>
      <c r="L2" s="72"/>
      <c r="N2" s="104" t="s">
        <v>194</v>
      </c>
      <c r="O2" s="104" t="s">
        <v>172</v>
      </c>
      <c r="P2" s="104" t="s">
        <v>173</v>
      </c>
      <c r="Q2" s="104" t="s">
        <v>174</v>
      </c>
      <c r="R2" s="104" t="s">
        <v>175</v>
      </c>
      <c r="T2" s="72" t="s">
        <v>193</v>
      </c>
      <c r="U2" s="72"/>
      <c r="W2" s="104" t="s">
        <v>195</v>
      </c>
      <c r="X2" s="104" t="s">
        <v>172</v>
      </c>
      <c r="Y2" s="104" t="s">
        <v>173</v>
      </c>
      <c r="Z2" s="104" t="s">
        <v>174</v>
      </c>
      <c r="AA2" s="104" t="s">
        <v>175</v>
      </c>
      <c r="AC2" s="72" t="s">
        <v>193</v>
      </c>
      <c r="AD2" s="72"/>
      <c r="AF2" s="104" t="s">
        <v>216</v>
      </c>
      <c r="AG2" s="104" t="s">
        <v>172</v>
      </c>
      <c r="AH2" s="104" t="s">
        <v>173</v>
      </c>
      <c r="AI2" s="104" t="s">
        <v>174</v>
      </c>
      <c r="AJ2" s="104" t="s">
        <v>175</v>
      </c>
      <c r="AL2" s="72" t="s">
        <v>193</v>
      </c>
      <c r="AM2" s="72"/>
    </row>
    <row r="3" spans="1:39">
      <c r="A3" s="1">
        <v>1</v>
      </c>
      <c r="B3" s="1">
        <v>27</v>
      </c>
      <c r="C3" s="106">
        <v>3500</v>
      </c>
      <c r="D3" s="122">
        <v>1</v>
      </c>
      <c r="E3" s="120">
        <v>1</v>
      </c>
      <c r="F3" s="81" cm="1">
        <f t="array" ref="F3:F9">FREQUENCY(A1:A151,E3:E8)</f>
        <v>54</v>
      </c>
      <c r="G3" s="81">
        <f>F3</f>
        <v>54</v>
      </c>
      <c r="H3" s="82">
        <f>F3/L16</f>
        <v>0.36</v>
      </c>
      <c r="I3" s="82">
        <f>H3</f>
        <v>0.36</v>
      </c>
      <c r="N3" s="81">
        <v>5</v>
      </c>
      <c r="O3" s="81" cm="1">
        <f t="array" ref="O3:O10">FREQUENCY(B2:B151,N3:N11)</f>
        <v>14</v>
      </c>
      <c r="P3" s="81">
        <f>O3</f>
        <v>14</v>
      </c>
      <c r="Q3" s="82">
        <f>O3/U16</f>
        <v>9.3333333333333338E-2</v>
      </c>
      <c r="R3" s="82">
        <f>Q3</f>
        <v>9.3333333333333338E-2</v>
      </c>
      <c r="W3" s="81">
        <v>3000</v>
      </c>
      <c r="X3" s="81" cm="1">
        <f t="array" ref="X3:X12">FREQUENCY(C1:C151,W3:W11)</f>
        <v>5</v>
      </c>
      <c r="Y3" s="81">
        <f>X3</f>
        <v>5</v>
      </c>
      <c r="Z3" s="82">
        <f>X3/AD16</f>
        <v>3.3333333333333333E-2</v>
      </c>
      <c r="AA3" s="82">
        <f>Z3</f>
        <v>3.3333333333333333E-2</v>
      </c>
      <c r="AF3" s="81">
        <v>1</v>
      </c>
      <c r="AG3" s="81" cm="1">
        <f t="array" ref="AG3:AG7">FREQUENCY(D1:D151,AF3:AF6)</f>
        <v>35</v>
      </c>
      <c r="AH3" s="81">
        <f>AG3</f>
        <v>35</v>
      </c>
      <c r="AI3" s="82">
        <f>AG3/AM16</f>
        <v>0.23333333333333334</v>
      </c>
      <c r="AJ3" s="82">
        <f>AI3</f>
        <v>0.23333333333333334</v>
      </c>
    </row>
    <row r="4" spans="1:39">
      <c r="A4" s="1">
        <v>1</v>
      </c>
      <c r="B4" s="1">
        <v>32</v>
      </c>
      <c r="C4" s="106">
        <v>4000</v>
      </c>
      <c r="D4" s="122">
        <v>1</v>
      </c>
      <c r="E4" s="120">
        <v>2</v>
      </c>
      <c r="F4" s="81">
        <v>39</v>
      </c>
      <c r="G4" s="81">
        <f>G3+F4</f>
        <v>93</v>
      </c>
      <c r="H4" s="82">
        <f>F4/L16</f>
        <v>0.26</v>
      </c>
      <c r="I4" s="82">
        <f>H4+I3</f>
        <v>0.62</v>
      </c>
      <c r="K4" s="26" t="s">
        <v>167</v>
      </c>
      <c r="L4" s="83">
        <f>MEDIAN(A2:A151)</f>
        <v>2</v>
      </c>
      <c r="N4" s="81">
        <v>10</v>
      </c>
      <c r="O4" s="81">
        <v>24</v>
      </c>
      <c r="P4" s="81">
        <f t="shared" ref="P4:P9" si="0">P3+O4</f>
        <v>38</v>
      </c>
      <c r="Q4" s="82">
        <f>O4/U16</f>
        <v>0.16</v>
      </c>
      <c r="R4" s="82">
        <f t="shared" ref="R4:R9" si="1">Q4+R3</f>
        <v>0.25333333333333335</v>
      </c>
      <c r="T4" s="26" t="s">
        <v>167</v>
      </c>
      <c r="U4" s="83">
        <f>MEDIAN(B2:B151)</f>
        <v>18</v>
      </c>
      <c r="W4" s="81">
        <v>3250</v>
      </c>
      <c r="X4" s="81">
        <v>0</v>
      </c>
      <c r="Y4" s="81">
        <f>Y3+X4</f>
        <v>5</v>
      </c>
      <c r="Z4" s="82">
        <f>X4/AD16</f>
        <v>0</v>
      </c>
      <c r="AA4" s="82">
        <f>Z4+AA3</f>
        <v>3.3333333333333333E-2</v>
      </c>
      <c r="AC4" s="26" t="s">
        <v>167</v>
      </c>
      <c r="AD4" s="83">
        <f>MEDIAN(C2:C151)</f>
        <v>3500</v>
      </c>
      <c r="AF4" s="81">
        <v>2</v>
      </c>
      <c r="AG4" s="81">
        <v>49</v>
      </c>
      <c r="AH4" s="81">
        <f>AH3+AG4</f>
        <v>84</v>
      </c>
      <c r="AI4" s="82">
        <f>AG4/AM16</f>
        <v>0.32666666666666666</v>
      </c>
      <c r="AJ4" s="82">
        <f>AI4+AJ3</f>
        <v>0.56000000000000005</v>
      </c>
      <c r="AL4" s="26" t="s">
        <v>167</v>
      </c>
      <c r="AM4" s="83">
        <f>MEDIAN(D2:D151)</f>
        <v>2</v>
      </c>
    </row>
    <row r="5" spans="1:39">
      <c r="A5" s="1">
        <v>2</v>
      </c>
      <c r="B5" s="1">
        <v>35</v>
      </c>
      <c r="C5" s="106">
        <v>4000</v>
      </c>
      <c r="D5" s="122">
        <v>3</v>
      </c>
      <c r="E5" s="120">
        <v>3</v>
      </c>
      <c r="F5" s="80">
        <v>32</v>
      </c>
      <c r="G5" s="81">
        <f>G4+F5</f>
        <v>125</v>
      </c>
      <c r="H5" s="82">
        <f>F5/L16</f>
        <v>0.21333333333333335</v>
      </c>
      <c r="I5" s="82">
        <f t="shared" ref="I5:I8" si="2">H5+I4</f>
        <v>0.83333333333333337</v>
      </c>
      <c r="K5" s="26" t="s">
        <v>176</v>
      </c>
      <c r="L5" s="83">
        <f>STDEV(A2:A151)</f>
        <v>1.3033084728457416</v>
      </c>
      <c r="N5" s="81">
        <v>15</v>
      </c>
      <c r="O5" s="80">
        <v>19</v>
      </c>
      <c r="P5" s="81">
        <f t="shared" si="0"/>
        <v>57</v>
      </c>
      <c r="Q5" s="82">
        <f>O5/U16</f>
        <v>0.12666666666666668</v>
      </c>
      <c r="R5" s="82">
        <f t="shared" si="1"/>
        <v>0.38</v>
      </c>
      <c r="T5" s="26" t="s">
        <v>176</v>
      </c>
      <c r="U5" s="83">
        <f>STDEV(B2:B151)</f>
        <v>9.3135800876578596</v>
      </c>
      <c r="W5" s="81">
        <v>3500</v>
      </c>
      <c r="X5" s="80">
        <v>74</v>
      </c>
      <c r="Y5" s="81">
        <f>Y4+X5</f>
        <v>79</v>
      </c>
      <c r="Z5" s="82">
        <f>X5/AD16</f>
        <v>0.49333333333333335</v>
      </c>
      <c r="AA5" s="82">
        <f t="shared" ref="AA5:AA11" si="3">Z5+AA4</f>
        <v>0.52666666666666673</v>
      </c>
      <c r="AC5" s="26" t="s">
        <v>176</v>
      </c>
      <c r="AD5" s="83">
        <f>STDEV(C2:C151)</f>
        <v>441.9298738745988</v>
      </c>
      <c r="AF5" s="84">
        <v>3</v>
      </c>
      <c r="AG5" s="132">
        <v>27</v>
      </c>
      <c r="AH5" s="84">
        <f>AH4+AG5</f>
        <v>111</v>
      </c>
      <c r="AI5" s="133">
        <f>AG5/AM16</f>
        <v>0.18</v>
      </c>
      <c r="AJ5" s="133">
        <f t="shared" ref="AJ5:AJ11" si="4">AI5+AJ4</f>
        <v>0.74</v>
      </c>
      <c r="AL5" s="26" t="s">
        <v>176</v>
      </c>
      <c r="AM5" s="83">
        <f>STDEV(D2:D151)</f>
        <v>1.1152792810414611</v>
      </c>
    </row>
    <row r="6" spans="1:39">
      <c r="A6" s="1">
        <v>2</v>
      </c>
      <c r="B6" s="1">
        <v>28</v>
      </c>
      <c r="C6" s="106">
        <v>3500</v>
      </c>
      <c r="D6" s="122">
        <v>1</v>
      </c>
      <c r="E6" s="120">
        <v>4</v>
      </c>
      <c r="F6" s="81">
        <v>9</v>
      </c>
      <c r="G6" s="81">
        <f>G5+F6</f>
        <v>134</v>
      </c>
      <c r="H6" s="82">
        <f>F6/L16</f>
        <v>0.06</v>
      </c>
      <c r="I6" s="82">
        <f t="shared" si="2"/>
        <v>0.89333333333333331</v>
      </c>
      <c r="K6" s="26" t="s">
        <v>177</v>
      </c>
      <c r="L6" s="83">
        <f>AVERAGE(A2:A151)</f>
        <v>2.2933333333333334</v>
      </c>
      <c r="N6" s="81">
        <v>20</v>
      </c>
      <c r="O6" s="81">
        <v>27</v>
      </c>
      <c r="P6" s="81">
        <f t="shared" si="0"/>
        <v>84</v>
      </c>
      <c r="Q6" s="82">
        <f>O6/U16</f>
        <v>0.18</v>
      </c>
      <c r="R6" s="82">
        <f t="shared" si="1"/>
        <v>0.56000000000000005</v>
      </c>
      <c r="T6" s="26" t="s">
        <v>177</v>
      </c>
      <c r="U6" s="83">
        <f>AVERAGE(B2:B151)</f>
        <v>17.953333333333333</v>
      </c>
      <c r="W6" s="81">
        <v>3750</v>
      </c>
      <c r="X6" s="80">
        <v>0</v>
      </c>
      <c r="Y6" s="81">
        <f>Y5+X6</f>
        <v>79</v>
      </c>
      <c r="Z6" s="82">
        <f>X6/AD16</f>
        <v>0</v>
      </c>
      <c r="AA6" s="82">
        <f t="shared" si="3"/>
        <v>0.52666666666666673</v>
      </c>
      <c r="AC6" s="26" t="s">
        <v>177</v>
      </c>
      <c r="AD6" s="83">
        <f>AVERAGE(C2:C151)</f>
        <v>3800</v>
      </c>
      <c r="AF6" s="138">
        <v>4</v>
      </c>
      <c r="AG6" s="139">
        <v>39</v>
      </c>
      <c r="AH6" s="138">
        <f>AH5+AG6</f>
        <v>150</v>
      </c>
      <c r="AI6" s="140">
        <f>AG6/AM16</f>
        <v>0.26</v>
      </c>
      <c r="AJ6" s="140">
        <f t="shared" si="4"/>
        <v>1</v>
      </c>
      <c r="AL6" s="26" t="s">
        <v>177</v>
      </c>
      <c r="AM6" s="83">
        <f>AVERAGE(D2:D151)</f>
        <v>2.4666666666666668</v>
      </c>
    </row>
    <row r="7" spans="1:39">
      <c r="A7" s="1">
        <v>4</v>
      </c>
      <c r="B7" s="1">
        <v>21</v>
      </c>
      <c r="C7" s="106">
        <v>3500</v>
      </c>
      <c r="D7" s="122">
        <v>1</v>
      </c>
      <c r="E7" s="120">
        <v>5</v>
      </c>
      <c r="F7" s="81">
        <v>16</v>
      </c>
      <c r="G7" s="81">
        <f>G6+F7</f>
        <v>150</v>
      </c>
      <c r="H7" s="82">
        <f>F7/L16</f>
        <v>0.10666666666666667</v>
      </c>
      <c r="I7" s="82">
        <f t="shared" si="2"/>
        <v>1</v>
      </c>
      <c r="K7" s="26" t="s">
        <v>178</v>
      </c>
      <c r="L7" s="83">
        <f>MODE(A2:A151)</f>
        <v>1</v>
      </c>
      <c r="N7" s="81">
        <v>25</v>
      </c>
      <c r="O7" s="81">
        <v>25</v>
      </c>
      <c r="P7" s="81">
        <f t="shared" si="0"/>
        <v>109</v>
      </c>
      <c r="Q7" s="82">
        <f>O7/U16</f>
        <v>0.16666666666666666</v>
      </c>
      <c r="R7" s="82">
        <f t="shared" si="1"/>
        <v>0.72666666666666668</v>
      </c>
      <c r="T7" s="26" t="s">
        <v>178</v>
      </c>
      <c r="U7" s="83">
        <f>MODE(B2:B151)</f>
        <v>27</v>
      </c>
      <c r="W7" s="81">
        <v>4000</v>
      </c>
      <c r="X7" s="80">
        <v>42</v>
      </c>
      <c r="Y7" s="81">
        <f>Y6+X7</f>
        <v>121</v>
      </c>
      <c r="Z7" s="82">
        <f>X7/AD16</f>
        <v>0.28000000000000003</v>
      </c>
      <c r="AA7" s="82">
        <f t="shared" si="3"/>
        <v>0.80666666666666675</v>
      </c>
      <c r="AC7" s="26" t="s">
        <v>178</v>
      </c>
      <c r="AD7" s="83">
        <f>MODE(C2:C151)</f>
        <v>3500</v>
      </c>
      <c r="AF7" s="134"/>
      <c r="AG7" s="135">
        <v>0</v>
      </c>
      <c r="AH7" s="134"/>
      <c r="AI7" s="136"/>
      <c r="AJ7" s="136"/>
      <c r="AL7" s="26" t="s">
        <v>178</v>
      </c>
      <c r="AM7" s="83">
        <f>MODE(D2:D151)</f>
        <v>2</v>
      </c>
    </row>
    <row r="8" spans="1:39">
      <c r="A8" s="1">
        <v>3</v>
      </c>
      <c r="B8" s="1">
        <v>16</v>
      </c>
      <c r="C8" s="106">
        <v>4500</v>
      </c>
      <c r="D8" s="122">
        <v>2</v>
      </c>
      <c r="E8" s="120">
        <v>6</v>
      </c>
      <c r="F8" s="81">
        <v>0</v>
      </c>
      <c r="G8" s="81">
        <f>G7+F8</f>
        <v>150</v>
      </c>
      <c r="H8" s="82">
        <f>F8/L16</f>
        <v>0</v>
      </c>
      <c r="I8" s="82">
        <f t="shared" si="2"/>
        <v>1</v>
      </c>
      <c r="K8" s="26" t="s">
        <v>180</v>
      </c>
      <c r="L8" s="83">
        <f>_xlfn.STDEV.S(A2:A151)</f>
        <v>1.3033084728457416</v>
      </c>
      <c r="N8" s="81">
        <v>30</v>
      </c>
      <c r="O8" s="81">
        <v>22</v>
      </c>
      <c r="P8" s="81">
        <f t="shared" si="0"/>
        <v>131</v>
      </c>
      <c r="Q8" s="82">
        <f>O8/U16</f>
        <v>0.14666666666666667</v>
      </c>
      <c r="R8" s="82">
        <f t="shared" si="1"/>
        <v>0.87333333333333329</v>
      </c>
      <c r="T8" s="26" t="s">
        <v>180</v>
      </c>
      <c r="U8" s="83">
        <f>_xlfn.STDEV.S(B2:B151)</f>
        <v>9.3135800876578596</v>
      </c>
      <c r="W8" s="81">
        <v>4250</v>
      </c>
      <c r="X8" s="80">
        <v>0</v>
      </c>
      <c r="Y8" s="81">
        <f>Y7+X8</f>
        <v>121</v>
      </c>
      <c r="Z8" s="82">
        <f>X8/AD16</f>
        <v>0</v>
      </c>
      <c r="AA8" s="82">
        <f t="shared" si="3"/>
        <v>0.80666666666666675</v>
      </c>
      <c r="AC8" s="26" t="s">
        <v>180</v>
      </c>
      <c r="AD8" s="83">
        <f>_xlfn.STDEV.S(C2:C151)</f>
        <v>441.9298738745988</v>
      </c>
      <c r="AF8" s="134"/>
      <c r="AG8" s="135"/>
      <c r="AH8" s="134"/>
      <c r="AI8" s="136"/>
      <c r="AJ8" s="136"/>
      <c r="AL8" s="26" t="s">
        <v>180</v>
      </c>
      <c r="AM8" s="83">
        <f>_xlfn.STDEV.S(D2:D151)</f>
        <v>1.1152792810414611</v>
      </c>
    </row>
    <row r="9" spans="1:39">
      <c r="A9" s="1">
        <v>1</v>
      </c>
      <c r="B9" s="1">
        <v>16</v>
      </c>
      <c r="C9" s="106">
        <v>3300</v>
      </c>
      <c r="D9" s="122">
        <v>2</v>
      </c>
      <c r="F9">
        <v>0</v>
      </c>
      <c r="K9" s="26" t="s">
        <v>181</v>
      </c>
      <c r="L9" s="83">
        <f>VAR(A2:A151)</f>
        <v>1.6986129753914991</v>
      </c>
      <c r="N9" s="81">
        <v>35</v>
      </c>
      <c r="O9" s="81">
        <v>19</v>
      </c>
      <c r="P9" s="81">
        <f t="shared" si="0"/>
        <v>150</v>
      </c>
      <c r="Q9" s="82">
        <f>O9/U16</f>
        <v>0.12666666666666668</v>
      </c>
      <c r="R9" s="82">
        <f t="shared" si="1"/>
        <v>1</v>
      </c>
      <c r="T9" s="26" t="s">
        <v>181</v>
      </c>
      <c r="U9" s="83">
        <f>VAR(B2:B151)</f>
        <v>86.74277404921699</v>
      </c>
      <c r="W9" s="81">
        <v>4500</v>
      </c>
      <c r="X9" s="80">
        <v>28</v>
      </c>
      <c r="Y9" s="81">
        <f t="shared" ref="Y9:Y11" si="5">Y8+X9</f>
        <v>149</v>
      </c>
      <c r="Z9" s="82">
        <f>X9/AD16</f>
        <v>0.18666666666666668</v>
      </c>
      <c r="AA9" s="82">
        <f t="shared" si="3"/>
        <v>0.9933333333333334</v>
      </c>
      <c r="AC9" s="26" t="s">
        <v>181</v>
      </c>
      <c r="AD9" s="83">
        <f>VAR(C2:C151)</f>
        <v>195302.0134228188</v>
      </c>
      <c r="AF9" s="134"/>
      <c r="AG9" s="135"/>
      <c r="AH9" s="134"/>
      <c r="AI9" s="136"/>
      <c r="AJ9" s="136"/>
      <c r="AL9" s="26" t="s">
        <v>181</v>
      </c>
      <c r="AM9" s="83">
        <f>VAR(D2:D151)</f>
        <v>1.2438478747203583</v>
      </c>
    </row>
    <row r="10" spans="1:39">
      <c r="A10" s="1">
        <v>1</v>
      </c>
      <c r="B10" s="1">
        <v>3</v>
      </c>
      <c r="C10" s="106">
        <v>3500</v>
      </c>
      <c r="D10" s="122">
        <v>4</v>
      </c>
      <c r="K10" s="26" t="s">
        <v>182</v>
      </c>
      <c r="L10" s="83">
        <f>KURT(A2:A151)</f>
        <v>-0.41097476720071491</v>
      </c>
      <c r="N10" s="2"/>
      <c r="O10" s="2">
        <v>0</v>
      </c>
      <c r="Q10" s="102"/>
      <c r="T10" s="26" t="s">
        <v>182</v>
      </c>
      <c r="U10" s="83">
        <f>KURT(B2:B151)</f>
        <v>-1.1345988927268564</v>
      </c>
      <c r="W10" s="81">
        <v>4750</v>
      </c>
      <c r="X10" s="80">
        <v>0</v>
      </c>
      <c r="Y10" s="81">
        <f t="shared" si="5"/>
        <v>149</v>
      </c>
      <c r="Z10" s="82">
        <f>X10/AD16</f>
        <v>0</v>
      </c>
      <c r="AA10" s="82">
        <f t="shared" si="3"/>
        <v>0.9933333333333334</v>
      </c>
      <c r="AC10" s="26" t="s">
        <v>182</v>
      </c>
      <c r="AD10" s="83">
        <f>KURT(C2:C151)</f>
        <v>-0.80324329092225977</v>
      </c>
      <c r="AF10" s="134"/>
      <c r="AG10" s="137"/>
      <c r="AH10" s="134"/>
      <c r="AI10" s="136"/>
      <c r="AJ10" s="136"/>
      <c r="AL10" s="26" t="s">
        <v>182</v>
      </c>
      <c r="AM10" s="83">
        <f>KURT(D2:D151)</f>
        <v>-1.3359923940676157</v>
      </c>
    </row>
    <row r="11" spans="1:39">
      <c r="A11" s="1">
        <v>1</v>
      </c>
      <c r="B11" s="1">
        <v>11</v>
      </c>
      <c r="C11" s="106">
        <v>3500</v>
      </c>
      <c r="D11" s="122">
        <v>2</v>
      </c>
      <c r="K11" s="26" t="s">
        <v>183</v>
      </c>
      <c r="L11" s="83">
        <f>SKEW(A2:A151)</f>
        <v>0.78501648035285132</v>
      </c>
      <c r="N11" s="2"/>
      <c r="O11" s="2"/>
      <c r="Q11" s="102"/>
      <c r="T11" s="26" t="s">
        <v>183</v>
      </c>
      <c r="U11" s="83">
        <f>SKEW(B2:B151)</f>
        <v>7.7500182077951266E-3</v>
      </c>
      <c r="W11" s="81">
        <v>5000</v>
      </c>
      <c r="X11" s="80">
        <v>1</v>
      </c>
      <c r="Y11" s="81">
        <f t="shared" si="5"/>
        <v>150</v>
      </c>
      <c r="Z11" s="82">
        <f>X11/AD16</f>
        <v>6.6666666666666671E-3</v>
      </c>
      <c r="AA11" s="82">
        <f t="shared" si="3"/>
        <v>1</v>
      </c>
      <c r="AC11" s="26" t="s">
        <v>183</v>
      </c>
      <c r="AD11" s="83">
        <f>SKEW(C2:C151)</f>
        <v>0.44449031070651357</v>
      </c>
      <c r="AF11" s="134"/>
      <c r="AG11" s="135"/>
      <c r="AH11" s="134"/>
      <c r="AI11" s="136"/>
      <c r="AJ11" s="136"/>
      <c r="AL11" s="26" t="s">
        <v>183</v>
      </c>
      <c r="AM11" s="83">
        <f>SKEW(D2:D151)</f>
        <v>0.14361350084272645</v>
      </c>
    </row>
    <row r="12" spans="1:39">
      <c r="A12" s="1">
        <v>4</v>
      </c>
      <c r="B12" s="1">
        <v>10</v>
      </c>
      <c r="C12" s="106">
        <v>4000</v>
      </c>
      <c r="D12" s="122">
        <v>3</v>
      </c>
      <c r="K12" s="26" t="s">
        <v>184</v>
      </c>
      <c r="L12" s="83">
        <f>L14-L13</f>
        <v>4</v>
      </c>
      <c r="N12" s="2"/>
      <c r="O12" s="2"/>
      <c r="Q12" s="102"/>
      <c r="T12" s="26" t="s">
        <v>184</v>
      </c>
      <c r="U12" s="83">
        <f>U14-U13</f>
        <v>34</v>
      </c>
      <c r="W12" s="2"/>
      <c r="X12">
        <v>0</v>
      </c>
      <c r="AC12" s="26" t="s">
        <v>184</v>
      </c>
      <c r="AD12" s="83">
        <f>AD14-AD13</f>
        <v>2000</v>
      </c>
      <c r="AF12" s="2"/>
      <c r="AL12" s="26" t="s">
        <v>184</v>
      </c>
      <c r="AM12" s="83">
        <f>AM14-AM13</f>
        <v>3</v>
      </c>
    </row>
    <row r="13" spans="1:39">
      <c r="A13" s="1">
        <v>2</v>
      </c>
      <c r="B13" s="1">
        <v>31</v>
      </c>
      <c r="C13" s="106">
        <v>4500</v>
      </c>
      <c r="D13" s="122">
        <v>2</v>
      </c>
      <c r="K13" s="26" t="s">
        <v>185</v>
      </c>
      <c r="L13" s="83">
        <f>MIN(A2:A151)</f>
        <v>1</v>
      </c>
      <c r="N13" s="2"/>
      <c r="O13" s="2"/>
      <c r="Q13" s="102"/>
      <c r="T13" s="26" t="s">
        <v>185</v>
      </c>
      <c r="U13" s="83">
        <f>MIN(B2:B151)</f>
        <v>1</v>
      </c>
      <c r="W13" s="2"/>
      <c r="AC13" s="26" t="s">
        <v>185</v>
      </c>
      <c r="AD13" s="83">
        <f>MIN(C2:C151)</f>
        <v>3000</v>
      </c>
      <c r="AF13" s="2"/>
      <c r="AL13" s="26" t="s">
        <v>185</v>
      </c>
      <c r="AM13" s="83">
        <f>MIN(D2:D151)</f>
        <v>1</v>
      </c>
    </row>
    <row r="14" spans="1:39">
      <c r="A14" s="1">
        <v>1</v>
      </c>
      <c r="B14" s="1">
        <v>26</v>
      </c>
      <c r="C14" s="106">
        <v>3500</v>
      </c>
      <c r="D14" s="122">
        <v>2</v>
      </c>
      <c r="E14" s="121"/>
      <c r="K14" s="26" t="s">
        <v>186</v>
      </c>
      <c r="L14" s="83">
        <f>MAX(A2:A151)</f>
        <v>5</v>
      </c>
      <c r="T14" s="26" t="s">
        <v>186</v>
      </c>
      <c r="U14" s="83">
        <f>MAX(B2:B151)</f>
        <v>35</v>
      </c>
      <c r="W14" s="2"/>
      <c r="AC14" s="26" t="s">
        <v>186</v>
      </c>
      <c r="AD14" s="83">
        <f>MAX(C2:C151)</f>
        <v>5000</v>
      </c>
      <c r="AF14" s="2"/>
      <c r="AL14" s="26" t="s">
        <v>186</v>
      </c>
      <c r="AM14" s="83">
        <f>MAX(D2:D151)</f>
        <v>4</v>
      </c>
    </row>
    <row r="15" spans="1:39">
      <c r="A15" s="1">
        <v>2</v>
      </c>
      <c r="B15" s="1">
        <v>7</v>
      </c>
      <c r="C15" s="106">
        <v>3500</v>
      </c>
      <c r="D15" s="122">
        <v>2</v>
      </c>
      <c r="K15" s="26" t="s">
        <v>187</v>
      </c>
      <c r="L15" s="83">
        <f>SUM(A2:A151)</f>
        <v>344</v>
      </c>
      <c r="T15" s="26" t="s">
        <v>187</v>
      </c>
      <c r="U15" s="83">
        <f>SUM(B2:B151)</f>
        <v>2693</v>
      </c>
      <c r="AC15" s="26" t="s">
        <v>187</v>
      </c>
      <c r="AD15" s="83">
        <f>SUM(C2:C151)</f>
        <v>570000</v>
      </c>
      <c r="AL15" s="26" t="s">
        <v>187</v>
      </c>
      <c r="AM15" s="83">
        <f>SUM(D2:D151)</f>
        <v>370</v>
      </c>
    </row>
    <row r="16" spans="1:39">
      <c r="A16" s="1">
        <v>1</v>
      </c>
      <c r="B16" s="1">
        <v>6</v>
      </c>
      <c r="C16" s="106">
        <v>5000</v>
      </c>
      <c r="D16" s="122">
        <v>1</v>
      </c>
      <c r="K16" s="26" t="s">
        <v>188</v>
      </c>
      <c r="L16" s="83">
        <f>COUNT(A2:A151)</f>
        <v>150</v>
      </c>
      <c r="T16" s="26" t="s">
        <v>188</v>
      </c>
      <c r="U16" s="83">
        <f>COUNT(B2:B151)</f>
        <v>150</v>
      </c>
      <c r="AC16" s="26" t="s">
        <v>188</v>
      </c>
      <c r="AD16" s="83">
        <f>COUNT(C2:C151)</f>
        <v>150</v>
      </c>
      <c r="AL16" s="26" t="s">
        <v>188</v>
      </c>
      <c r="AM16" s="83">
        <f>COUNT(D2:D151)</f>
        <v>150</v>
      </c>
    </row>
    <row r="17" spans="1:4">
      <c r="A17" s="1">
        <v>5</v>
      </c>
      <c r="B17" s="1">
        <v>21</v>
      </c>
      <c r="C17" s="106">
        <v>4000</v>
      </c>
      <c r="D17" s="122">
        <v>1</v>
      </c>
    </row>
    <row r="18" spans="1:4">
      <c r="A18" s="1">
        <v>2</v>
      </c>
      <c r="B18" s="1">
        <v>2</v>
      </c>
      <c r="C18" s="106">
        <v>3500</v>
      </c>
      <c r="D18" s="122">
        <v>3</v>
      </c>
    </row>
    <row r="19" spans="1:4">
      <c r="A19" s="1">
        <v>2</v>
      </c>
      <c r="B19" s="1">
        <v>26</v>
      </c>
      <c r="C19" s="106">
        <v>3500</v>
      </c>
      <c r="D19" s="122">
        <v>2</v>
      </c>
    </row>
    <row r="20" spans="1:4">
      <c r="A20" s="1">
        <v>2</v>
      </c>
      <c r="B20" s="1">
        <v>12</v>
      </c>
      <c r="C20" s="106">
        <v>3500</v>
      </c>
      <c r="D20" s="122">
        <v>2</v>
      </c>
    </row>
    <row r="21" spans="1:4">
      <c r="A21" s="1">
        <v>1</v>
      </c>
      <c r="B21" s="1">
        <v>6</v>
      </c>
      <c r="C21" s="106">
        <v>4500</v>
      </c>
      <c r="D21" s="122">
        <v>1</v>
      </c>
    </row>
    <row r="22" spans="1:4">
      <c r="A22" s="1">
        <v>5</v>
      </c>
      <c r="B22" s="1">
        <v>6</v>
      </c>
      <c r="C22" s="106">
        <v>4000</v>
      </c>
      <c r="D22" s="122">
        <v>4</v>
      </c>
    </row>
    <row r="23" spans="1:4">
      <c r="A23" s="1">
        <v>3</v>
      </c>
      <c r="B23" s="1">
        <v>12</v>
      </c>
      <c r="C23" s="106">
        <v>3500</v>
      </c>
      <c r="D23" s="122">
        <v>3</v>
      </c>
    </row>
    <row r="24" spans="1:4">
      <c r="A24" s="1">
        <v>1</v>
      </c>
      <c r="B24" s="1">
        <v>29</v>
      </c>
      <c r="C24" s="106">
        <v>4000</v>
      </c>
      <c r="D24" s="122">
        <v>3</v>
      </c>
    </row>
    <row r="25" spans="1:4">
      <c r="A25" s="1">
        <v>3</v>
      </c>
      <c r="B25" s="1">
        <v>27</v>
      </c>
      <c r="C25" s="106">
        <v>3500</v>
      </c>
      <c r="D25" s="122">
        <v>4</v>
      </c>
    </row>
    <row r="26" spans="1:4">
      <c r="A26" s="1">
        <v>1</v>
      </c>
      <c r="B26" s="1">
        <v>11</v>
      </c>
      <c r="C26" s="106">
        <v>3500</v>
      </c>
      <c r="D26" s="122">
        <v>1</v>
      </c>
    </row>
    <row r="27" spans="1:4">
      <c r="A27" s="1">
        <v>1</v>
      </c>
      <c r="B27" s="1">
        <v>24</v>
      </c>
      <c r="C27" s="106">
        <v>4000</v>
      </c>
      <c r="D27" s="122">
        <v>3</v>
      </c>
    </row>
    <row r="28" spans="1:4">
      <c r="A28" s="1">
        <v>3</v>
      </c>
      <c r="B28" s="1">
        <v>14</v>
      </c>
      <c r="C28" s="106">
        <v>4000</v>
      </c>
      <c r="D28" s="122">
        <v>2</v>
      </c>
    </row>
    <row r="29" spans="1:4">
      <c r="A29" s="1">
        <v>2</v>
      </c>
      <c r="B29" s="1">
        <v>18</v>
      </c>
      <c r="C29" s="106">
        <v>3500</v>
      </c>
      <c r="D29" s="122">
        <v>4</v>
      </c>
    </row>
    <row r="30" spans="1:4">
      <c r="A30" s="1">
        <v>3</v>
      </c>
      <c r="B30" s="1">
        <v>6</v>
      </c>
      <c r="C30" s="106">
        <v>3300</v>
      </c>
      <c r="D30" s="122">
        <v>4</v>
      </c>
    </row>
    <row r="31" spans="1:4">
      <c r="A31" s="1">
        <v>5</v>
      </c>
      <c r="B31" s="1">
        <v>32</v>
      </c>
      <c r="C31" s="106">
        <v>3500</v>
      </c>
      <c r="D31" s="122">
        <v>4</v>
      </c>
    </row>
    <row r="32" spans="1:4">
      <c r="A32" s="1">
        <v>3</v>
      </c>
      <c r="B32" s="1">
        <v>6</v>
      </c>
      <c r="C32" s="106">
        <v>4500</v>
      </c>
      <c r="D32" s="122">
        <v>1</v>
      </c>
    </row>
    <row r="33" spans="1:4">
      <c r="A33" s="1">
        <v>1</v>
      </c>
      <c r="B33" s="1">
        <v>25</v>
      </c>
      <c r="C33" s="106">
        <v>4500</v>
      </c>
      <c r="D33" s="122">
        <v>4</v>
      </c>
    </row>
    <row r="34" spans="1:4">
      <c r="A34" s="1">
        <v>4</v>
      </c>
      <c r="B34" s="1">
        <v>8</v>
      </c>
      <c r="C34" s="106">
        <v>4000</v>
      </c>
      <c r="D34" s="122">
        <v>4</v>
      </c>
    </row>
    <row r="35" spans="1:4">
      <c r="A35" s="1">
        <v>1</v>
      </c>
      <c r="B35" s="1">
        <v>21</v>
      </c>
      <c r="C35" s="106">
        <v>3500</v>
      </c>
      <c r="D35" s="122">
        <v>2</v>
      </c>
    </row>
    <row r="36" spans="1:4">
      <c r="A36" s="1">
        <v>4</v>
      </c>
      <c r="B36" s="1">
        <v>7</v>
      </c>
      <c r="C36" s="106">
        <v>3500</v>
      </c>
      <c r="D36" s="122">
        <v>4</v>
      </c>
    </row>
    <row r="37" spans="1:4">
      <c r="A37" s="1">
        <v>2</v>
      </c>
      <c r="B37" s="1">
        <v>31</v>
      </c>
      <c r="C37" s="106">
        <v>3500</v>
      </c>
      <c r="D37" s="122">
        <v>2</v>
      </c>
    </row>
    <row r="38" spans="1:4">
      <c r="A38" s="1">
        <v>1</v>
      </c>
      <c r="B38" s="1">
        <v>16</v>
      </c>
      <c r="C38" s="106">
        <v>4500</v>
      </c>
      <c r="D38" s="122">
        <v>2</v>
      </c>
    </row>
    <row r="39" spans="1:4">
      <c r="A39" s="1">
        <v>3</v>
      </c>
      <c r="B39" s="1">
        <v>16</v>
      </c>
      <c r="C39" s="106">
        <v>3500</v>
      </c>
      <c r="D39" s="122">
        <v>2</v>
      </c>
    </row>
    <row r="40" spans="1:4">
      <c r="A40" s="1">
        <v>1</v>
      </c>
      <c r="B40" s="1">
        <v>13</v>
      </c>
      <c r="C40" s="106">
        <v>3500</v>
      </c>
      <c r="D40" s="122">
        <v>2</v>
      </c>
    </row>
    <row r="41" spans="1:4">
      <c r="A41" s="1">
        <v>1</v>
      </c>
      <c r="B41" s="1">
        <v>26</v>
      </c>
      <c r="C41" s="106">
        <v>4000</v>
      </c>
      <c r="D41" s="122">
        <v>4</v>
      </c>
    </row>
    <row r="42" spans="1:4">
      <c r="A42" s="1">
        <v>1</v>
      </c>
      <c r="B42" s="1">
        <v>33</v>
      </c>
      <c r="C42" s="106">
        <v>4500</v>
      </c>
      <c r="D42" s="122">
        <v>2</v>
      </c>
    </row>
    <row r="43" spans="1:4">
      <c r="A43" s="1">
        <v>4</v>
      </c>
      <c r="B43" s="1">
        <v>11</v>
      </c>
      <c r="C43" s="106">
        <v>3500</v>
      </c>
      <c r="D43" s="122">
        <v>3</v>
      </c>
    </row>
    <row r="44" spans="1:4">
      <c r="A44" s="1">
        <v>2</v>
      </c>
      <c r="B44" s="1">
        <v>17</v>
      </c>
      <c r="C44" s="106">
        <v>3500</v>
      </c>
      <c r="D44" s="122">
        <v>4</v>
      </c>
    </row>
    <row r="45" spans="1:4">
      <c r="A45" s="1">
        <v>2</v>
      </c>
      <c r="B45" s="1">
        <v>25</v>
      </c>
      <c r="C45" s="106">
        <v>4500</v>
      </c>
      <c r="D45" s="122">
        <v>2</v>
      </c>
    </row>
    <row r="46" spans="1:4">
      <c r="A46" s="1">
        <v>2</v>
      </c>
      <c r="B46" s="1">
        <v>34</v>
      </c>
      <c r="C46" s="106">
        <v>4500</v>
      </c>
      <c r="D46" s="122">
        <v>1</v>
      </c>
    </row>
    <row r="47" spans="1:4">
      <c r="A47" s="1">
        <v>1</v>
      </c>
      <c r="B47" s="1">
        <v>27</v>
      </c>
      <c r="C47" s="106">
        <v>4000</v>
      </c>
      <c r="D47" s="122">
        <v>1</v>
      </c>
    </row>
    <row r="48" spans="1:4">
      <c r="A48" s="1">
        <v>3</v>
      </c>
      <c r="B48" s="1">
        <v>30</v>
      </c>
      <c r="C48" s="106">
        <v>3500</v>
      </c>
      <c r="D48" s="122">
        <v>1</v>
      </c>
    </row>
    <row r="49" spans="1:4">
      <c r="A49" s="1">
        <v>1</v>
      </c>
      <c r="B49" s="1">
        <v>22</v>
      </c>
      <c r="C49" s="106">
        <v>3500</v>
      </c>
      <c r="D49" s="122">
        <v>4</v>
      </c>
    </row>
    <row r="50" spans="1:4">
      <c r="A50" s="1">
        <v>3</v>
      </c>
      <c r="B50" s="1">
        <v>34</v>
      </c>
      <c r="C50" s="106">
        <v>4000</v>
      </c>
      <c r="D50" s="122">
        <v>2</v>
      </c>
    </row>
    <row r="51" spans="1:4">
      <c r="A51" s="1">
        <v>3</v>
      </c>
      <c r="B51" s="1">
        <v>16</v>
      </c>
      <c r="C51" s="106">
        <v>4000</v>
      </c>
      <c r="D51" s="122">
        <v>2</v>
      </c>
    </row>
    <row r="52" spans="1:4">
      <c r="A52" s="1">
        <v>3</v>
      </c>
      <c r="B52" s="1">
        <v>27</v>
      </c>
      <c r="C52" s="106">
        <v>4000</v>
      </c>
      <c r="D52" s="122">
        <v>4</v>
      </c>
    </row>
    <row r="53" spans="1:4">
      <c r="A53" s="1">
        <v>2</v>
      </c>
      <c r="B53" s="1">
        <v>27</v>
      </c>
      <c r="C53" s="106">
        <v>3500</v>
      </c>
      <c r="D53" s="122">
        <v>2</v>
      </c>
    </row>
    <row r="54" spans="1:4">
      <c r="A54" s="1">
        <v>5</v>
      </c>
      <c r="B54" s="1">
        <v>26</v>
      </c>
      <c r="C54" s="106">
        <v>3500</v>
      </c>
      <c r="D54" s="122">
        <v>2</v>
      </c>
    </row>
    <row r="55" spans="1:4">
      <c r="A55" s="1">
        <v>1</v>
      </c>
      <c r="B55" s="1">
        <v>27</v>
      </c>
      <c r="C55" s="106">
        <v>3500</v>
      </c>
      <c r="D55" s="122">
        <v>1</v>
      </c>
    </row>
    <row r="56" spans="1:4">
      <c r="A56" s="1">
        <v>1</v>
      </c>
      <c r="B56" s="1">
        <v>21</v>
      </c>
      <c r="C56" s="106">
        <v>3300</v>
      </c>
      <c r="D56" s="122">
        <v>4</v>
      </c>
    </row>
    <row r="57" spans="1:4">
      <c r="A57" s="1">
        <v>5</v>
      </c>
      <c r="B57" s="1">
        <v>14</v>
      </c>
      <c r="C57" s="106">
        <v>4500</v>
      </c>
      <c r="D57" s="122">
        <v>3</v>
      </c>
    </row>
    <row r="58" spans="1:4">
      <c r="A58" s="1">
        <v>3</v>
      </c>
      <c r="B58" s="1">
        <v>21</v>
      </c>
      <c r="C58" s="106">
        <v>3500</v>
      </c>
      <c r="D58" s="122">
        <v>1</v>
      </c>
    </row>
    <row r="59" spans="1:4">
      <c r="A59" s="1">
        <v>2</v>
      </c>
      <c r="B59" s="1">
        <v>22</v>
      </c>
      <c r="C59" s="106">
        <v>4500</v>
      </c>
      <c r="D59" s="122">
        <v>4</v>
      </c>
    </row>
    <row r="60" spans="1:4">
      <c r="A60" s="1">
        <v>2</v>
      </c>
      <c r="B60" s="1">
        <v>17</v>
      </c>
      <c r="C60" s="106">
        <v>3000</v>
      </c>
      <c r="D60" s="122">
        <v>4</v>
      </c>
    </row>
    <row r="61" spans="1:4">
      <c r="A61" s="1">
        <v>1</v>
      </c>
      <c r="B61" s="1">
        <v>18</v>
      </c>
      <c r="C61" s="106">
        <v>4000</v>
      </c>
      <c r="D61" s="122">
        <v>1</v>
      </c>
    </row>
    <row r="62" spans="1:4">
      <c r="A62" s="1">
        <v>3</v>
      </c>
      <c r="B62" s="1">
        <v>32</v>
      </c>
      <c r="C62" s="106">
        <v>3500</v>
      </c>
      <c r="D62" s="122">
        <v>3</v>
      </c>
    </row>
    <row r="63" spans="1:4">
      <c r="A63" s="1">
        <v>3</v>
      </c>
      <c r="B63" s="1">
        <v>19</v>
      </c>
      <c r="C63" s="106">
        <v>3500</v>
      </c>
      <c r="D63" s="122">
        <v>3</v>
      </c>
    </row>
    <row r="64" spans="1:4">
      <c r="A64" s="1">
        <v>2</v>
      </c>
      <c r="B64" s="1">
        <v>21</v>
      </c>
      <c r="C64" s="106">
        <v>4500</v>
      </c>
      <c r="D64" s="122">
        <v>1</v>
      </c>
    </row>
    <row r="65" spans="1:4">
      <c r="A65" s="1">
        <v>1</v>
      </c>
      <c r="B65" s="1">
        <v>11</v>
      </c>
      <c r="C65" s="106">
        <v>4500</v>
      </c>
      <c r="D65" s="122">
        <v>2</v>
      </c>
    </row>
    <row r="66" spans="1:4">
      <c r="A66" s="1">
        <v>2</v>
      </c>
      <c r="B66" s="1">
        <v>14</v>
      </c>
      <c r="C66" s="106">
        <v>4000</v>
      </c>
      <c r="D66" s="122">
        <v>4</v>
      </c>
    </row>
    <row r="67" spans="1:4">
      <c r="A67" s="1">
        <v>5</v>
      </c>
      <c r="B67" s="1">
        <v>18</v>
      </c>
      <c r="C67" s="106">
        <v>3500</v>
      </c>
      <c r="D67" s="122">
        <v>4</v>
      </c>
    </row>
    <row r="68" spans="1:4">
      <c r="A68" s="1">
        <v>2</v>
      </c>
      <c r="B68" s="1">
        <v>5</v>
      </c>
      <c r="C68" s="106">
        <v>3000</v>
      </c>
      <c r="D68" s="122">
        <v>2</v>
      </c>
    </row>
    <row r="69" spans="1:4">
      <c r="A69" s="1">
        <v>1</v>
      </c>
      <c r="B69" s="1">
        <v>7</v>
      </c>
      <c r="C69" s="106">
        <v>3500</v>
      </c>
      <c r="D69" s="122">
        <v>2</v>
      </c>
    </row>
    <row r="70" spans="1:4">
      <c r="A70" s="1">
        <v>5</v>
      </c>
      <c r="B70" s="1">
        <v>18</v>
      </c>
      <c r="C70" s="106">
        <v>3500</v>
      </c>
      <c r="D70" s="122">
        <v>1</v>
      </c>
    </row>
    <row r="71" spans="1:4">
      <c r="A71" s="1">
        <v>1</v>
      </c>
      <c r="B71" s="1">
        <v>6</v>
      </c>
      <c r="C71" s="106">
        <v>3500</v>
      </c>
      <c r="D71" s="122">
        <v>2</v>
      </c>
    </row>
    <row r="72" spans="1:4">
      <c r="A72" s="1">
        <v>1</v>
      </c>
      <c r="B72" s="1">
        <v>34</v>
      </c>
      <c r="C72" s="106">
        <v>4500</v>
      </c>
      <c r="D72" s="122">
        <v>1</v>
      </c>
    </row>
    <row r="73" spans="1:4">
      <c r="A73" s="1">
        <v>2</v>
      </c>
      <c r="B73" s="1">
        <v>32</v>
      </c>
      <c r="C73" s="106">
        <v>3500</v>
      </c>
      <c r="D73" s="122">
        <v>4</v>
      </c>
    </row>
    <row r="74" spans="1:4">
      <c r="A74" s="1">
        <v>1</v>
      </c>
      <c r="B74" s="1">
        <v>8</v>
      </c>
      <c r="C74" s="106">
        <v>4000</v>
      </c>
      <c r="D74" s="122">
        <v>4</v>
      </c>
    </row>
    <row r="75" spans="1:4">
      <c r="A75" s="1">
        <v>1</v>
      </c>
      <c r="B75" s="1">
        <v>10</v>
      </c>
      <c r="C75" s="106">
        <v>3000</v>
      </c>
      <c r="D75" s="122">
        <v>2</v>
      </c>
    </row>
    <row r="76" spans="1:4">
      <c r="A76" s="1">
        <v>3</v>
      </c>
      <c r="B76" s="1">
        <v>21</v>
      </c>
      <c r="C76" s="106">
        <v>3000</v>
      </c>
      <c r="D76" s="122">
        <v>3</v>
      </c>
    </row>
    <row r="77" spans="1:4">
      <c r="A77" s="1">
        <v>5</v>
      </c>
      <c r="B77" s="1">
        <v>31</v>
      </c>
      <c r="C77" s="106">
        <v>4000</v>
      </c>
      <c r="D77" s="122">
        <v>3</v>
      </c>
    </row>
    <row r="78" spans="1:4">
      <c r="A78" s="1">
        <v>2</v>
      </c>
      <c r="B78" s="1">
        <v>9</v>
      </c>
      <c r="C78" s="106">
        <v>3500</v>
      </c>
      <c r="D78" s="122">
        <v>4</v>
      </c>
    </row>
    <row r="79" spans="1:4">
      <c r="A79" s="1">
        <v>1</v>
      </c>
      <c r="B79" s="1">
        <v>30</v>
      </c>
      <c r="C79" s="106">
        <v>3500</v>
      </c>
      <c r="D79" s="122">
        <v>2</v>
      </c>
    </row>
    <row r="80" spans="1:4">
      <c r="A80" s="1">
        <v>1</v>
      </c>
      <c r="B80" s="1">
        <v>13</v>
      </c>
      <c r="C80" s="106">
        <v>4500</v>
      </c>
      <c r="D80" s="122">
        <v>2</v>
      </c>
    </row>
    <row r="81" spans="1:4">
      <c r="A81" s="1">
        <v>3</v>
      </c>
      <c r="B81" s="1">
        <v>18</v>
      </c>
      <c r="C81" s="106">
        <v>4000</v>
      </c>
      <c r="D81" s="122">
        <v>3</v>
      </c>
    </row>
    <row r="82" spans="1:4">
      <c r="A82" s="1">
        <v>3</v>
      </c>
      <c r="B82" s="1">
        <v>12</v>
      </c>
      <c r="C82" s="106">
        <v>4000</v>
      </c>
      <c r="D82" s="122">
        <v>1</v>
      </c>
    </row>
    <row r="83" spans="1:4">
      <c r="A83" s="1">
        <v>1</v>
      </c>
      <c r="B83" s="1">
        <v>5</v>
      </c>
      <c r="C83" s="106">
        <v>3500</v>
      </c>
      <c r="D83" s="122">
        <v>2</v>
      </c>
    </row>
    <row r="84" spans="1:4">
      <c r="A84" s="1">
        <v>2</v>
      </c>
      <c r="B84" s="1">
        <v>17</v>
      </c>
      <c r="C84" s="106">
        <v>4500</v>
      </c>
      <c r="D84" s="122">
        <v>2</v>
      </c>
    </row>
    <row r="85" spans="1:4">
      <c r="A85" s="1">
        <v>1</v>
      </c>
      <c r="B85" s="1">
        <v>19</v>
      </c>
      <c r="C85" s="106">
        <v>4000</v>
      </c>
      <c r="D85" s="122">
        <v>3</v>
      </c>
    </row>
    <row r="86" spans="1:4">
      <c r="A86" s="1">
        <v>1</v>
      </c>
      <c r="B86" s="1">
        <v>31</v>
      </c>
      <c r="C86" s="106">
        <v>3500</v>
      </c>
      <c r="D86" s="122">
        <v>1</v>
      </c>
    </row>
    <row r="87" spans="1:4">
      <c r="A87" s="1">
        <v>1</v>
      </c>
      <c r="B87" s="1">
        <v>7</v>
      </c>
      <c r="C87" s="106">
        <v>4500</v>
      </c>
      <c r="D87" s="122">
        <v>1</v>
      </c>
    </row>
    <row r="88" spans="1:4">
      <c r="A88" s="1">
        <v>1</v>
      </c>
      <c r="B88" s="1">
        <v>26</v>
      </c>
      <c r="C88" s="106">
        <v>3000</v>
      </c>
      <c r="D88" s="122">
        <v>2</v>
      </c>
    </row>
    <row r="89" spans="1:4">
      <c r="A89" s="1">
        <v>1</v>
      </c>
      <c r="B89" s="1">
        <v>12</v>
      </c>
      <c r="C89" s="106">
        <v>4000</v>
      </c>
      <c r="D89" s="122">
        <v>3</v>
      </c>
    </row>
    <row r="90" spans="1:4">
      <c r="A90" s="1">
        <v>2</v>
      </c>
      <c r="B90" s="1">
        <v>6</v>
      </c>
      <c r="C90" s="106">
        <v>4000</v>
      </c>
      <c r="D90" s="122">
        <v>4</v>
      </c>
    </row>
    <row r="91" spans="1:4">
      <c r="A91" s="1">
        <v>1</v>
      </c>
      <c r="B91" s="1">
        <v>16</v>
      </c>
      <c r="C91" s="106">
        <v>4000</v>
      </c>
      <c r="D91" s="122">
        <v>2</v>
      </c>
    </row>
    <row r="92" spans="1:4">
      <c r="A92" s="1">
        <v>4</v>
      </c>
      <c r="B92" s="1">
        <v>22</v>
      </c>
      <c r="C92" s="106">
        <v>4500</v>
      </c>
      <c r="D92" s="122">
        <v>2</v>
      </c>
    </row>
    <row r="93" spans="1:4">
      <c r="A93" s="1">
        <v>3</v>
      </c>
      <c r="B93" s="1">
        <v>17</v>
      </c>
      <c r="C93" s="106">
        <v>4500</v>
      </c>
      <c r="D93" s="122">
        <v>3</v>
      </c>
    </row>
    <row r="94" spans="1:4">
      <c r="A94" s="1">
        <v>3</v>
      </c>
      <c r="B94" s="1">
        <v>26</v>
      </c>
      <c r="C94" s="106">
        <v>3300</v>
      </c>
      <c r="D94" s="122">
        <v>1</v>
      </c>
    </row>
    <row r="95" spans="1:4">
      <c r="A95" s="1">
        <v>5</v>
      </c>
      <c r="B95" s="1">
        <v>22</v>
      </c>
      <c r="C95" s="106">
        <v>3500</v>
      </c>
      <c r="D95" s="122">
        <v>4</v>
      </c>
    </row>
    <row r="96" spans="1:4">
      <c r="A96" s="1">
        <v>1</v>
      </c>
      <c r="B96" s="1">
        <v>31</v>
      </c>
      <c r="C96" s="106">
        <v>4000</v>
      </c>
      <c r="D96" s="122">
        <v>1</v>
      </c>
    </row>
    <row r="97" spans="1:4">
      <c r="A97" s="1">
        <v>1</v>
      </c>
      <c r="B97" s="1">
        <v>6</v>
      </c>
      <c r="C97" s="106">
        <v>3300</v>
      </c>
      <c r="D97" s="122">
        <v>1</v>
      </c>
    </row>
    <row r="98" spans="1:4">
      <c r="A98" s="1">
        <v>3</v>
      </c>
      <c r="B98" s="1">
        <v>24</v>
      </c>
      <c r="C98" s="106">
        <v>3500</v>
      </c>
      <c r="D98" s="122">
        <v>3</v>
      </c>
    </row>
    <row r="99" spans="1:4">
      <c r="A99" s="1">
        <v>3</v>
      </c>
      <c r="B99" s="1">
        <v>5</v>
      </c>
      <c r="C99" s="106">
        <v>4000</v>
      </c>
      <c r="D99" s="122">
        <v>1</v>
      </c>
    </row>
    <row r="100" spans="1:4">
      <c r="A100" s="1">
        <v>1</v>
      </c>
      <c r="B100" s="1">
        <v>12</v>
      </c>
      <c r="C100" s="106">
        <v>4500</v>
      </c>
      <c r="D100" s="122">
        <v>1</v>
      </c>
    </row>
    <row r="101" spans="1:4">
      <c r="A101" s="1">
        <v>1</v>
      </c>
      <c r="B101" s="1">
        <v>5</v>
      </c>
      <c r="C101" s="106">
        <v>3300</v>
      </c>
      <c r="D101" s="122">
        <v>1</v>
      </c>
    </row>
    <row r="102" spans="1:4">
      <c r="A102" s="1">
        <v>2</v>
      </c>
      <c r="B102" s="1">
        <v>18</v>
      </c>
      <c r="C102" s="106">
        <v>4000</v>
      </c>
      <c r="D102" s="122">
        <v>3</v>
      </c>
    </row>
    <row r="103" spans="1:4">
      <c r="A103" s="1">
        <v>1</v>
      </c>
      <c r="B103" s="1">
        <v>21</v>
      </c>
      <c r="C103" s="106">
        <v>3500</v>
      </c>
      <c r="D103" s="122">
        <v>4</v>
      </c>
    </row>
    <row r="104" spans="1:4">
      <c r="A104" s="1">
        <v>5</v>
      </c>
      <c r="B104" s="1">
        <v>33</v>
      </c>
      <c r="C104" s="106">
        <v>4500</v>
      </c>
      <c r="D104" s="122">
        <v>2</v>
      </c>
    </row>
    <row r="105" spans="1:4">
      <c r="A105" s="1">
        <v>2</v>
      </c>
      <c r="B105" s="1">
        <v>23</v>
      </c>
      <c r="C105" s="106">
        <v>3500</v>
      </c>
      <c r="D105" s="122">
        <v>1</v>
      </c>
    </row>
    <row r="106" spans="1:4">
      <c r="A106" s="1">
        <v>5</v>
      </c>
      <c r="B106" s="1">
        <v>33</v>
      </c>
      <c r="C106" s="106">
        <v>3300</v>
      </c>
      <c r="D106" s="122">
        <v>1</v>
      </c>
    </row>
    <row r="107" spans="1:4">
      <c r="A107" s="1">
        <v>5</v>
      </c>
      <c r="B107" s="1">
        <v>24</v>
      </c>
      <c r="C107" s="106">
        <v>4500</v>
      </c>
      <c r="D107" s="122">
        <v>2</v>
      </c>
    </row>
    <row r="108" spans="1:4">
      <c r="A108" s="1">
        <v>1</v>
      </c>
      <c r="B108" s="1">
        <v>12</v>
      </c>
      <c r="C108" s="106">
        <v>3500</v>
      </c>
      <c r="D108" s="122">
        <v>2</v>
      </c>
    </row>
    <row r="109" spans="1:4">
      <c r="A109" s="1">
        <v>2</v>
      </c>
      <c r="B109" s="1">
        <v>1</v>
      </c>
      <c r="C109" s="106">
        <v>4000</v>
      </c>
      <c r="D109" s="122">
        <v>3</v>
      </c>
    </row>
    <row r="110" spans="1:4">
      <c r="A110" s="1">
        <v>2</v>
      </c>
      <c r="B110" s="1">
        <v>31</v>
      </c>
      <c r="C110" s="106">
        <v>3300</v>
      </c>
      <c r="D110" s="122">
        <v>2</v>
      </c>
    </row>
    <row r="111" spans="1:4">
      <c r="A111" s="1">
        <v>5</v>
      </c>
      <c r="B111" s="1">
        <v>5</v>
      </c>
      <c r="C111" s="106">
        <v>3500</v>
      </c>
      <c r="D111" s="122">
        <v>3</v>
      </c>
    </row>
    <row r="112" spans="1:4">
      <c r="A112" s="1">
        <v>2</v>
      </c>
      <c r="B112" s="1">
        <v>31</v>
      </c>
      <c r="C112" s="106">
        <v>3500</v>
      </c>
      <c r="D112" s="122">
        <v>1</v>
      </c>
    </row>
    <row r="113" spans="1:4">
      <c r="A113" s="1">
        <v>1</v>
      </c>
      <c r="B113" s="1">
        <v>22</v>
      </c>
      <c r="C113" s="106">
        <v>4000</v>
      </c>
      <c r="D113" s="122">
        <v>4</v>
      </c>
    </row>
    <row r="114" spans="1:4">
      <c r="A114" s="1">
        <v>1</v>
      </c>
      <c r="B114" s="1">
        <v>21</v>
      </c>
      <c r="C114" s="106">
        <v>4500</v>
      </c>
      <c r="D114" s="122">
        <v>2</v>
      </c>
    </row>
    <row r="115" spans="1:4">
      <c r="A115" s="1">
        <v>2</v>
      </c>
      <c r="B115" s="1">
        <v>22</v>
      </c>
      <c r="C115" s="106">
        <v>4500</v>
      </c>
      <c r="D115" s="122">
        <v>4</v>
      </c>
    </row>
    <row r="116" spans="1:4">
      <c r="A116" s="1">
        <v>4</v>
      </c>
      <c r="B116" s="1">
        <v>25</v>
      </c>
      <c r="C116" s="106">
        <v>3500</v>
      </c>
      <c r="D116" s="122">
        <v>1</v>
      </c>
    </row>
    <row r="117" spans="1:4">
      <c r="A117" s="1">
        <v>2</v>
      </c>
      <c r="B117" s="1">
        <v>16</v>
      </c>
      <c r="C117" s="106">
        <v>4000</v>
      </c>
      <c r="D117" s="122">
        <v>1</v>
      </c>
    </row>
    <row r="118" spans="1:4">
      <c r="A118" s="1">
        <v>1</v>
      </c>
      <c r="B118" s="1">
        <v>8</v>
      </c>
      <c r="C118" s="106">
        <v>3500</v>
      </c>
      <c r="D118" s="122">
        <v>2</v>
      </c>
    </row>
    <row r="119" spans="1:4">
      <c r="A119" s="1">
        <v>2</v>
      </c>
      <c r="B119" s="1">
        <v>6</v>
      </c>
      <c r="C119" s="106">
        <v>4000</v>
      </c>
      <c r="D119" s="122">
        <v>2</v>
      </c>
    </row>
    <row r="120" spans="1:4">
      <c r="A120" s="1">
        <v>5</v>
      </c>
      <c r="B120" s="1">
        <v>2</v>
      </c>
      <c r="C120" s="106">
        <v>4000</v>
      </c>
      <c r="D120" s="122">
        <v>4</v>
      </c>
    </row>
    <row r="121" spans="1:4">
      <c r="A121" s="1">
        <v>2</v>
      </c>
      <c r="B121" s="1">
        <v>22</v>
      </c>
      <c r="C121" s="106">
        <v>4000</v>
      </c>
      <c r="D121" s="122">
        <v>4</v>
      </c>
    </row>
    <row r="122" spans="1:4">
      <c r="A122" s="1">
        <v>2</v>
      </c>
      <c r="B122" s="1">
        <v>17</v>
      </c>
      <c r="C122" s="106">
        <v>3500</v>
      </c>
      <c r="D122" s="122">
        <v>2</v>
      </c>
    </row>
    <row r="123" spans="1:4">
      <c r="A123" s="1">
        <v>3</v>
      </c>
      <c r="B123" s="1">
        <v>3</v>
      </c>
      <c r="C123" s="106">
        <v>4000</v>
      </c>
      <c r="D123" s="122">
        <v>4</v>
      </c>
    </row>
    <row r="124" spans="1:4">
      <c r="A124" s="1">
        <v>2</v>
      </c>
      <c r="B124" s="1">
        <v>32</v>
      </c>
      <c r="C124" s="106">
        <v>4000</v>
      </c>
      <c r="D124" s="122">
        <v>2</v>
      </c>
    </row>
    <row r="125" spans="1:4">
      <c r="A125" s="1">
        <v>3</v>
      </c>
      <c r="B125" s="1">
        <v>21</v>
      </c>
      <c r="C125" s="106">
        <v>4500</v>
      </c>
      <c r="D125" s="122">
        <v>2</v>
      </c>
    </row>
    <row r="126" spans="1:4">
      <c r="A126" s="1">
        <v>2</v>
      </c>
      <c r="B126" s="1">
        <v>17</v>
      </c>
      <c r="C126" s="106">
        <v>4000</v>
      </c>
      <c r="D126" s="122">
        <v>3</v>
      </c>
    </row>
    <row r="127" spans="1:4">
      <c r="A127" s="1">
        <v>2</v>
      </c>
      <c r="B127" s="1">
        <v>11</v>
      </c>
      <c r="C127" s="106">
        <v>4000</v>
      </c>
      <c r="D127" s="122">
        <v>4</v>
      </c>
    </row>
    <row r="128" spans="1:4">
      <c r="A128" s="1">
        <v>2</v>
      </c>
      <c r="B128" s="1">
        <v>27</v>
      </c>
      <c r="C128" s="106">
        <v>3500</v>
      </c>
      <c r="D128" s="122">
        <v>3</v>
      </c>
    </row>
    <row r="129" spans="1:4">
      <c r="A129" s="1">
        <v>3</v>
      </c>
      <c r="B129" s="1">
        <v>19</v>
      </c>
      <c r="C129" s="106">
        <v>3300</v>
      </c>
      <c r="D129" s="122">
        <v>4</v>
      </c>
    </row>
    <row r="130" spans="1:4">
      <c r="A130" s="1">
        <v>2</v>
      </c>
      <c r="B130" s="1">
        <v>3</v>
      </c>
      <c r="C130" s="106">
        <v>3300</v>
      </c>
      <c r="D130" s="122">
        <v>3</v>
      </c>
    </row>
    <row r="131" spans="1:4">
      <c r="A131" s="1">
        <v>1</v>
      </c>
      <c r="B131" s="1">
        <v>20</v>
      </c>
      <c r="C131" s="106">
        <v>3500</v>
      </c>
      <c r="D131" s="122">
        <v>3</v>
      </c>
    </row>
    <row r="132" spans="1:4">
      <c r="A132" s="1">
        <v>1</v>
      </c>
      <c r="B132" s="1">
        <v>27</v>
      </c>
      <c r="C132" s="106">
        <v>4500</v>
      </c>
      <c r="D132" s="122">
        <v>2</v>
      </c>
    </row>
    <row r="133" spans="1:4">
      <c r="A133" s="1">
        <v>4</v>
      </c>
      <c r="B133" s="1">
        <v>7</v>
      </c>
      <c r="C133" s="106">
        <v>3300</v>
      </c>
      <c r="D133" s="122">
        <v>4</v>
      </c>
    </row>
    <row r="134" spans="1:4">
      <c r="A134" s="1">
        <v>5</v>
      </c>
      <c r="B134" s="1">
        <v>16</v>
      </c>
      <c r="C134" s="106">
        <v>3300</v>
      </c>
      <c r="D134" s="122">
        <v>3</v>
      </c>
    </row>
    <row r="135" spans="1:4">
      <c r="A135" s="1">
        <v>1</v>
      </c>
      <c r="B135" s="1">
        <v>6</v>
      </c>
      <c r="C135" s="106">
        <v>3500</v>
      </c>
      <c r="D135" s="122">
        <v>2</v>
      </c>
    </row>
    <row r="136" spans="1:4">
      <c r="A136" s="1">
        <v>1</v>
      </c>
      <c r="B136" s="1">
        <v>16</v>
      </c>
      <c r="C136" s="106">
        <v>3300</v>
      </c>
      <c r="D136" s="122">
        <v>1</v>
      </c>
    </row>
    <row r="137" spans="1:4">
      <c r="A137" s="1">
        <v>3</v>
      </c>
      <c r="B137" s="1">
        <v>17</v>
      </c>
      <c r="C137" s="106">
        <v>4000</v>
      </c>
      <c r="D137" s="122">
        <v>4</v>
      </c>
    </row>
    <row r="138" spans="1:4">
      <c r="A138" s="1">
        <v>3</v>
      </c>
      <c r="B138" s="1">
        <v>13</v>
      </c>
      <c r="C138" s="106">
        <v>3500</v>
      </c>
      <c r="D138" s="122">
        <v>2</v>
      </c>
    </row>
    <row r="139" spans="1:4">
      <c r="A139" s="1">
        <v>2</v>
      </c>
      <c r="B139" s="1">
        <v>3</v>
      </c>
      <c r="C139" s="106">
        <v>3300</v>
      </c>
      <c r="D139" s="122">
        <v>4</v>
      </c>
    </row>
    <row r="140" spans="1:4">
      <c r="A140" s="1">
        <v>5</v>
      </c>
      <c r="B140" s="1">
        <v>9</v>
      </c>
      <c r="C140" s="106">
        <v>4000</v>
      </c>
      <c r="D140" s="122">
        <v>4</v>
      </c>
    </row>
    <row r="141" spans="1:4">
      <c r="A141" s="1">
        <v>1</v>
      </c>
      <c r="B141" s="1">
        <v>24</v>
      </c>
      <c r="C141" s="106">
        <v>4500</v>
      </c>
      <c r="D141" s="122">
        <v>2</v>
      </c>
    </row>
    <row r="142" spans="1:4">
      <c r="A142" s="1">
        <v>3</v>
      </c>
      <c r="B142" s="1">
        <v>17</v>
      </c>
      <c r="C142" s="106">
        <v>3500</v>
      </c>
      <c r="D142" s="122">
        <v>4</v>
      </c>
    </row>
    <row r="143" spans="1:4">
      <c r="A143" s="1">
        <v>1</v>
      </c>
      <c r="B143" s="1">
        <v>30</v>
      </c>
      <c r="C143" s="106">
        <v>3300</v>
      </c>
      <c r="D143" s="122">
        <v>3</v>
      </c>
    </row>
    <row r="144" spans="1:4">
      <c r="A144" s="1">
        <v>3</v>
      </c>
      <c r="B144" s="1">
        <v>8</v>
      </c>
      <c r="C144" s="106">
        <v>3500</v>
      </c>
      <c r="D144" s="122">
        <v>1</v>
      </c>
    </row>
    <row r="145" spans="1:4">
      <c r="A145" s="1">
        <v>3</v>
      </c>
      <c r="B145" s="1">
        <v>30</v>
      </c>
      <c r="C145" s="106">
        <v>4000</v>
      </c>
      <c r="D145" s="122">
        <v>2</v>
      </c>
    </row>
    <row r="146" spans="1:4">
      <c r="A146" s="1">
        <v>1</v>
      </c>
      <c r="B146" s="1">
        <v>27</v>
      </c>
      <c r="C146" s="106">
        <v>4000</v>
      </c>
      <c r="D146" s="122">
        <v>2</v>
      </c>
    </row>
    <row r="147" spans="1:4">
      <c r="A147" s="1">
        <v>4</v>
      </c>
      <c r="B147" s="1">
        <v>27</v>
      </c>
      <c r="C147" s="106">
        <v>4000</v>
      </c>
      <c r="D147" s="122">
        <v>3</v>
      </c>
    </row>
    <row r="148" spans="1:4">
      <c r="A148" s="1">
        <v>3</v>
      </c>
      <c r="B148" s="1">
        <v>2</v>
      </c>
      <c r="C148" s="106">
        <v>3500</v>
      </c>
      <c r="D148" s="122">
        <v>1</v>
      </c>
    </row>
    <row r="149" spans="1:4">
      <c r="A149" s="1">
        <v>3</v>
      </c>
      <c r="B149" s="1">
        <v>12</v>
      </c>
      <c r="C149" s="106">
        <v>4500</v>
      </c>
      <c r="D149" s="122">
        <v>2</v>
      </c>
    </row>
    <row r="150" spans="1:4">
      <c r="A150" s="1">
        <v>2</v>
      </c>
      <c r="B150" s="1">
        <v>12</v>
      </c>
      <c r="C150" s="106">
        <v>3500</v>
      </c>
      <c r="D150" s="122">
        <v>4</v>
      </c>
    </row>
    <row r="151" spans="1:4">
      <c r="A151" s="1">
        <v>1</v>
      </c>
      <c r="B151" s="1">
        <v>4</v>
      </c>
      <c r="C151" s="106">
        <v>3500</v>
      </c>
      <c r="D151" s="122">
        <v>4</v>
      </c>
    </row>
    <row r="152" spans="1:4">
      <c r="D152" s="117"/>
    </row>
    <row r="153" spans="1:4">
      <c r="D153" s="118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C4A8D-DC71-4AEE-A499-E7301D8B27FD}">
  <dimension ref="A1:T151"/>
  <sheetViews>
    <sheetView tabSelected="1" topLeftCell="I9" workbookViewId="0">
      <selection activeCell="V18" sqref="V18"/>
    </sheetView>
  </sheetViews>
  <sheetFormatPr baseColWidth="10" defaultColWidth="11.5703125" defaultRowHeight="15"/>
  <cols>
    <col min="1" max="1" width="24.140625" style="4" bestFit="1" customWidth="1"/>
    <col min="2" max="2" width="22.7109375" style="4" bestFit="1" customWidth="1"/>
    <col min="3" max="3" width="27.140625" style="4" bestFit="1" customWidth="1"/>
    <col min="4" max="5" width="11.5703125" style="4"/>
    <col min="6" max="7" width="12" style="4" bestFit="1" customWidth="1"/>
    <col min="8" max="8" width="12.28515625" style="4" bestFit="1" customWidth="1"/>
    <col min="9" max="11" width="11.5703125" style="4"/>
    <col min="12" max="12" width="12" style="4" bestFit="1" customWidth="1"/>
    <col min="13" max="13" width="11.42578125" style="4" bestFit="1" customWidth="1"/>
    <col min="14" max="14" width="12.28515625" style="4" bestFit="1" customWidth="1"/>
    <col min="15" max="16" width="11.5703125" style="4"/>
    <col min="17" max="17" width="29.28515625" style="4" bestFit="1" customWidth="1"/>
    <col min="18" max="18" width="12.140625" style="4" bestFit="1" customWidth="1"/>
    <col min="19" max="19" width="11.5703125" style="4"/>
    <col min="20" max="20" width="12.42578125" style="4" bestFit="1" customWidth="1"/>
    <col min="21" max="16384" width="11.5703125" style="4"/>
  </cols>
  <sheetData>
    <row r="1" spans="1:20">
      <c r="A1" s="5" t="s">
        <v>0</v>
      </c>
      <c r="B1" s="5" t="s">
        <v>1</v>
      </c>
      <c r="C1" s="73" t="s">
        <v>2</v>
      </c>
      <c r="E1" s="33" t="s">
        <v>196</v>
      </c>
      <c r="F1" s="34" t="s">
        <v>197</v>
      </c>
      <c r="G1" s="34" t="s">
        <v>198</v>
      </c>
      <c r="H1" s="35" t="s">
        <v>199</v>
      </c>
      <c r="K1" s="69" t="s">
        <v>200</v>
      </c>
      <c r="L1" s="67" t="s">
        <v>197</v>
      </c>
      <c r="M1" s="67" t="s">
        <v>198</v>
      </c>
      <c r="N1" s="68" t="s">
        <v>199</v>
      </c>
      <c r="Q1" s="115" t="s">
        <v>201</v>
      </c>
      <c r="R1" s="70" t="s">
        <v>197</v>
      </c>
      <c r="S1" s="70" t="s">
        <v>198</v>
      </c>
      <c r="T1" s="71" t="s">
        <v>199</v>
      </c>
    </row>
    <row r="2" spans="1:20">
      <c r="A2" s="1" t="s">
        <v>10</v>
      </c>
      <c r="B2" s="1" t="s">
        <v>11</v>
      </c>
      <c r="C2" s="103" t="s">
        <v>100</v>
      </c>
      <c r="E2" s="31" t="s">
        <v>202</v>
      </c>
      <c r="F2" s="31">
        <f>COUNTIF($A$2:$A$151,E2)</f>
        <v>23</v>
      </c>
      <c r="G2" s="31">
        <f>F2/$F$7</f>
        <v>0.15333333333333332</v>
      </c>
      <c r="H2" s="32">
        <v>0.15333333333333299</v>
      </c>
      <c r="K2" s="31" t="s">
        <v>11</v>
      </c>
      <c r="L2" s="31">
        <f>COUNTIF($B$2:$B$151,K2)</f>
        <v>29</v>
      </c>
      <c r="M2" s="31">
        <f>L2/$L$8</f>
        <v>0.19333333333333333</v>
      </c>
      <c r="N2" s="32">
        <v>0.19333333333333333</v>
      </c>
      <c r="Q2" s="114" t="s">
        <v>21</v>
      </c>
      <c r="R2" s="31">
        <f t="shared" ref="R2:R13" si="0">COUNTIF($C$2:$C$151,Q2)</f>
        <v>14</v>
      </c>
      <c r="S2" s="31">
        <f t="shared" ref="S2:S13" si="1">R2/$R$14</f>
        <v>9.3333333333333338E-2</v>
      </c>
      <c r="T2" s="32">
        <v>9.3333333333333338E-2</v>
      </c>
    </row>
    <row r="3" spans="1:20">
      <c r="A3" s="1" t="s">
        <v>10</v>
      </c>
      <c r="B3" s="1" t="s">
        <v>13</v>
      </c>
      <c r="C3" s="103" t="s">
        <v>52</v>
      </c>
      <c r="E3" s="29" t="s">
        <v>203</v>
      </c>
      <c r="F3" s="31">
        <f t="shared" ref="F3:F6" si="2">COUNTIF($A$2:$A$151,E3)</f>
        <v>28</v>
      </c>
      <c r="G3" s="29">
        <f t="shared" ref="G3:G6" si="3">F3/$F$7</f>
        <v>0.18666666666666668</v>
      </c>
      <c r="H3" s="30">
        <v>0.18666666666666668</v>
      </c>
      <c r="K3" s="29" t="s">
        <v>13</v>
      </c>
      <c r="L3" s="31">
        <f t="shared" ref="L3:L7" si="4">COUNTIF($B$2:$B$151,K3)</f>
        <v>23</v>
      </c>
      <c r="M3" s="31">
        <f t="shared" ref="M3:M7" si="5">L3/$L$8</f>
        <v>0.15333333333333332</v>
      </c>
      <c r="N3" s="30">
        <v>0.15333333333333332</v>
      </c>
      <c r="Q3" s="110" t="s">
        <v>204</v>
      </c>
      <c r="R3" s="31">
        <f t="shared" si="0"/>
        <v>15</v>
      </c>
      <c r="S3" s="31">
        <f t="shared" si="1"/>
        <v>0.1</v>
      </c>
      <c r="T3" s="30">
        <v>0.1</v>
      </c>
    </row>
    <row r="4" spans="1:20">
      <c r="A4" s="1" t="s">
        <v>15</v>
      </c>
      <c r="B4" s="1" t="s">
        <v>16</v>
      </c>
      <c r="C4" s="103" t="s">
        <v>14</v>
      </c>
      <c r="E4" s="29" t="s">
        <v>205</v>
      </c>
      <c r="F4" s="31">
        <f t="shared" si="2"/>
        <v>32</v>
      </c>
      <c r="G4" s="29">
        <f t="shared" si="3"/>
        <v>0.21333333333333335</v>
      </c>
      <c r="H4" s="30">
        <v>0.21333333333333335</v>
      </c>
      <c r="K4" s="29" t="s">
        <v>16</v>
      </c>
      <c r="L4" s="31">
        <f t="shared" si="4"/>
        <v>26</v>
      </c>
      <c r="M4" s="31">
        <f t="shared" si="5"/>
        <v>0.17333333333333334</v>
      </c>
      <c r="N4" s="30">
        <v>0.17333333333333334</v>
      </c>
      <c r="Q4" s="110" t="s">
        <v>14</v>
      </c>
      <c r="R4" s="31">
        <f t="shared" si="0"/>
        <v>13</v>
      </c>
      <c r="S4" s="31">
        <f t="shared" si="1"/>
        <v>8.666666666666667E-2</v>
      </c>
      <c r="T4" s="30">
        <v>8.666666666666667E-2</v>
      </c>
    </row>
    <row r="5" spans="1:20">
      <c r="A5" s="1" t="s">
        <v>18</v>
      </c>
      <c r="B5" s="1" t="s">
        <v>13</v>
      </c>
      <c r="C5" s="105" t="s">
        <v>206</v>
      </c>
      <c r="E5" s="29" t="s">
        <v>207</v>
      </c>
      <c r="F5" s="31">
        <f t="shared" si="2"/>
        <v>38</v>
      </c>
      <c r="G5" s="29">
        <f t="shared" si="3"/>
        <v>0.25333333333333335</v>
      </c>
      <c r="H5" s="30">
        <v>0.25333333333333335</v>
      </c>
      <c r="K5" s="77" t="s">
        <v>23</v>
      </c>
      <c r="L5" s="78">
        <f t="shared" si="4"/>
        <v>21</v>
      </c>
      <c r="M5" s="78">
        <f t="shared" si="5"/>
        <v>0.14000000000000001</v>
      </c>
      <c r="N5" s="79">
        <v>0.14000000000000001</v>
      </c>
      <c r="Q5" s="110" t="s">
        <v>41</v>
      </c>
      <c r="R5" s="31">
        <f t="shared" si="0"/>
        <v>10</v>
      </c>
      <c r="S5" s="31">
        <f t="shared" si="1"/>
        <v>6.6666666666666666E-2</v>
      </c>
      <c r="T5" s="30">
        <v>6.6666666666666666E-2</v>
      </c>
    </row>
    <row r="6" spans="1:20">
      <c r="A6" s="1" t="s">
        <v>20</v>
      </c>
      <c r="B6" s="1" t="s">
        <v>11</v>
      </c>
      <c r="C6" s="103" t="s">
        <v>52</v>
      </c>
      <c r="E6" s="29" t="s">
        <v>208</v>
      </c>
      <c r="F6" s="31">
        <f t="shared" si="2"/>
        <v>29</v>
      </c>
      <c r="G6" s="29">
        <f t="shared" si="3"/>
        <v>0.19333333333333333</v>
      </c>
      <c r="H6" s="30">
        <v>0.19333333333333333</v>
      </c>
      <c r="K6" s="74" t="s">
        <v>25</v>
      </c>
      <c r="L6" s="74">
        <f t="shared" si="4"/>
        <v>26</v>
      </c>
      <c r="M6" s="74">
        <f t="shared" si="5"/>
        <v>0.17333333333333334</v>
      </c>
      <c r="N6" s="75">
        <v>0.17333333333333334</v>
      </c>
      <c r="Q6" s="110" t="s">
        <v>209</v>
      </c>
      <c r="R6" s="31">
        <f t="shared" si="0"/>
        <v>18</v>
      </c>
      <c r="S6" s="31">
        <f t="shared" si="1"/>
        <v>0.12</v>
      </c>
      <c r="T6" s="30">
        <v>0.12</v>
      </c>
    </row>
    <row r="7" spans="1:20">
      <c r="A7" s="1" t="s">
        <v>18</v>
      </c>
      <c r="B7" s="1" t="s">
        <v>23</v>
      </c>
      <c r="C7" s="103" t="s">
        <v>52</v>
      </c>
      <c r="E7" s="29" t="s">
        <v>189</v>
      </c>
      <c r="F7" s="29">
        <f>SUM(F2:F6)</f>
        <v>150</v>
      </c>
      <c r="G7" s="29"/>
      <c r="H7" s="29"/>
      <c r="K7" s="74" t="s">
        <v>27</v>
      </c>
      <c r="L7" s="74">
        <f t="shared" si="4"/>
        <v>25</v>
      </c>
      <c r="M7" s="74">
        <f t="shared" si="5"/>
        <v>0.16666666666666666</v>
      </c>
      <c r="N7" s="75">
        <v>0.16666666666666666</v>
      </c>
      <c r="Q7" s="110" t="s">
        <v>210</v>
      </c>
      <c r="R7" s="31">
        <f t="shared" si="0"/>
        <v>8</v>
      </c>
      <c r="S7" s="31">
        <f t="shared" si="1"/>
        <v>5.3333333333333337E-2</v>
      </c>
      <c r="T7" s="30">
        <v>5.3333333333333337E-2</v>
      </c>
    </row>
    <row r="8" spans="1:20">
      <c r="A8" s="1" t="s">
        <v>18</v>
      </c>
      <c r="B8" s="1" t="s">
        <v>13</v>
      </c>
      <c r="C8" s="103" t="s">
        <v>52</v>
      </c>
      <c r="K8" s="74" t="s">
        <v>189</v>
      </c>
      <c r="L8" s="74">
        <f>SUM(L2:L7)</f>
        <v>150</v>
      </c>
      <c r="M8" s="76"/>
      <c r="N8" s="74"/>
      <c r="Q8" s="110" t="s">
        <v>211</v>
      </c>
      <c r="R8" s="31">
        <f t="shared" si="0"/>
        <v>7</v>
      </c>
      <c r="S8" s="31">
        <f t="shared" si="1"/>
        <v>4.6666666666666669E-2</v>
      </c>
      <c r="T8" s="30">
        <v>4.6666666666666669E-2</v>
      </c>
    </row>
    <row r="9" spans="1:20">
      <c r="A9" s="1" t="s">
        <v>20</v>
      </c>
      <c r="B9" s="1" t="s">
        <v>25</v>
      </c>
      <c r="C9" s="103" t="s">
        <v>212</v>
      </c>
      <c r="Q9" s="110" t="s">
        <v>212</v>
      </c>
      <c r="R9" s="31">
        <f t="shared" si="0"/>
        <v>14</v>
      </c>
      <c r="S9" s="31">
        <f t="shared" si="1"/>
        <v>9.3333333333333338E-2</v>
      </c>
      <c r="T9" s="30">
        <v>9.3333333333333338E-2</v>
      </c>
    </row>
    <row r="10" spans="1:20">
      <c r="A10" s="1" t="s">
        <v>18</v>
      </c>
      <c r="B10" s="1" t="s">
        <v>25</v>
      </c>
      <c r="C10" s="103" t="s">
        <v>14</v>
      </c>
      <c r="Q10" s="110" t="s">
        <v>100</v>
      </c>
      <c r="R10" s="31">
        <f t="shared" si="0"/>
        <v>11</v>
      </c>
      <c r="S10" s="31">
        <f t="shared" si="1"/>
        <v>7.3333333333333334E-2</v>
      </c>
      <c r="T10" s="30">
        <v>7.3333333333333334E-2</v>
      </c>
    </row>
    <row r="11" spans="1:20">
      <c r="A11" s="1" t="s">
        <v>26</v>
      </c>
      <c r="B11" s="1" t="s">
        <v>11</v>
      </c>
      <c r="C11" s="103" t="s">
        <v>211</v>
      </c>
      <c r="Q11" s="110" t="s">
        <v>52</v>
      </c>
      <c r="R11" s="31">
        <f t="shared" si="0"/>
        <v>15</v>
      </c>
      <c r="S11" s="31">
        <f t="shared" si="1"/>
        <v>0.1</v>
      </c>
      <c r="T11" s="30">
        <v>0.1</v>
      </c>
    </row>
    <row r="12" spans="1:20">
      <c r="A12" s="1" t="s">
        <v>26</v>
      </c>
      <c r="B12" s="1" t="s">
        <v>27</v>
      </c>
      <c r="C12" s="103" t="s">
        <v>21</v>
      </c>
      <c r="Q12" s="110" t="s">
        <v>206</v>
      </c>
      <c r="R12" s="31">
        <f t="shared" si="0"/>
        <v>11</v>
      </c>
      <c r="S12" s="31">
        <f t="shared" si="1"/>
        <v>7.3333333333333334E-2</v>
      </c>
      <c r="T12" s="30">
        <v>7.3333333333333334E-2</v>
      </c>
    </row>
    <row r="13" spans="1:20">
      <c r="A13" s="1" t="s">
        <v>15</v>
      </c>
      <c r="B13" s="1" t="s">
        <v>13</v>
      </c>
      <c r="C13" s="103" t="s">
        <v>211</v>
      </c>
      <c r="Q13" s="110" t="s">
        <v>213</v>
      </c>
      <c r="R13" s="31">
        <f t="shared" si="0"/>
        <v>14</v>
      </c>
      <c r="S13" s="31">
        <f t="shared" si="1"/>
        <v>9.3333333333333338E-2</v>
      </c>
      <c r="T13" s="30">
        <v>9.3333333333333338E-2</v>
      </c>
    </row>
    <row r="14" spans="1:20">
      <c r="A14" s="1" t="s">
        <v>15</v>
      </c>
      <c r="B14" s="1" t="s">
        <v>27</v>
      </c>
      <c r="C14" s="105" t="s">
        <v>213</v>
      </c>
      <c r="Q14"/>
      <c r="R14" s="4">
        <f>SUM(R2:R13)</f>
        <v>150</v>
      </c>
    </row>
    <row r="15" spans="1:20">
      <c r="A15" s="1" t="s">
        <v>15</v>
      </c>
      <c r="B15" s="1" t="s">
        <v>11</v>
      </c>
      <c r="C15" s="105" t="s">
        <v>206</v>
      </c>
      <c r="Q15"/>
    </row>
    <row r="16" spans="1:20">
      <c r="A16" s="1" t="s">
        <v>26</v>
      </c>
      <c r="B16" s="1" t="s">
        <v>23</v>
      </c>
      <c r="C16" s="105" t="s">
        <v>206</v>
      </c>
      <c r="Q16"/>
    </row>
    <row r="17" spans="1:13">
      <c r="A17" s="1" t="s">
        <v>26</v>
      </c>
      <c r="B17" s="1" t="s">
        <v>25</v>
      </c>
      <c r="C17" s="103" t="s">
        <v>212</v>
      </c>
    </row>
    <row r="18" spans="1:13">
      <c r="A18" s="1" t="s">
        <v>18</v>
      </c>
      <c r="B18" s="1" t="s">
        <v>11</v>
      </c>
      <c r="C18" s="103" t="s">
        <v>209</v>
      </c>
    </row>
    <row r="19" spans="1:13">
      <c r="A19" s="1" t="s">
        <v>18</v>
      </c>
      <c r="B19" s="1" t="s">
        <v>27</v>
      </c>
      <c r="C19" s="103" t="s">
        <v>52</v>
      </c>
    </row>
    <row r="20" spans="1:13">
      <c r="A20" s="1" t="s">
        <v>18</v>
      </c>
      <c r="B20" s="1" t="s">
        <v>11</v>
      </c>
      <c r="C20" s="105" t="s">
        <v>206</v>
      </c>
    </row>
    <row r="21" spans="1:13">
      <c r="A21" s="1" t="s">
        <v>20</v>
      </c>
      <c r="B21" s="1" t="s">
        <v>16</v>
      </c>
      <c r="C21" s="103" t="s">
        <v>21</v>
      </c>
    </row>
    <row r="22" spans="1:13">
      <c r="A22" s="1" t="s">
        <v>15</v>
      </c>
      <c r="B22" s="1" t="s">
        <v>11</v>
      </c>
      <c r="C22" s="103" t="s">
        <v>204</v>
      </c>
    </row>
    <row r="23" spans="1:13">
      <c r="A23" s="1" t="s">
        <v>18</v>
      </c>
      <c r="B23" s="1" t="s">
        <v>13</v>
      </c>
      <c r="C23" s="103" t="s">
        <v>21</v>
      </c>
    </row>
    <row r="24" spans="1:13">
      <c r="A24" s="1" t="s">
        <v>18</v>
      </c>
      <c r="B24" s="1" t="s">
        <v>13</v>
      </c>
      <c r="C24" s="105" t="s">
        <v>213</v>
      </c>
    </row>
    <row r="25" spans="1:13">
      <c r="A25" s="1" t="s">
        <v>15</v>
      </c>
      <c r="B25" s="1" t="s">
        <v>13</v>
      </c>
      <c r="C25" s="103" t="s">
        <v>209</v>
      </c>
    </row>
    <row r="26" spans="1:13">
      <c r="A26" s="1" t="s">
        <v>15</v>
      </c>
      <c r="B26" s="1" t="s">
        <v>13</v>
      </c>
      <c r="C26" s="105" t="s">
        <v>41</v>
      </c>
    </row>
    <row r="27" spans="1:13">
      <c r="A27" s="1" t="s">
        <v>26</v>
      </c>
      <c r="B27" s="1" t="s">
        <v>16</v>
      </c>
      <c r="C27" s="103" t="s">
        <v>210</v>
      </c>
    </row>
    <row r="28" spans="1:13">
      <c r="A28" s="1" t="s">
        <v>20</v>
      </c>
      <c r="B28" s="1" t="s">
        <v>13</v>
      </c>
      <c r="C28" s="103" t="s">
        <v>14</v>
      </c>
      <c r="M28" s="4" t="s">
        <v>214</v>
      </c>
    </row>
    <row r="29" spans="1:13">
      <c r="A29" s="1" t="s">
        <v>20</v>
      </c>
      <c r="B29" s="1" t="s">
        <v>27</v>
      </c>
      <c r="C29" s="103" t="s">
        <v>210</v>
      </c>
    </row>
    <row r="30" spans="1:13">
      <c r="A30" s="1" t="s">
        <v>15</v>
      </c>
      <c r="B30" s="1" t="s">
        <v>23</v>
      </c>
      <c r="C30" s="103" t="s">
        <v>209</v>
      </c>
    </row>
    <row r="31" spans="1:13">
      <c r="A31" s="1" t="s">
        <v>15</v>
      </c>
      <c r="B31" s="1" t="s">
        <v>23</v>
      </c>
      <c r="C31" s="103" t="s">
        <v>210</v>
      </c>
    </row>
    <row r="32" spans="1:13">
      <c r="A32" s="1" t="s">
        <v>15</v>
      </c>
      <c r="B32" s="1" t="s">
        <v>16</v>
      </c>
      <c r="C32" s="105" t="s">
        <v>206</v>
      </c>
    </row>
    <row r="33" spans="1:3">
      <c r="A33" s="1" t="s">
        <v>20</v>
      </c>
      <c r="B33" s="1" t="s">
        <v>25</v>
      </c>
      <c r="C33" s="103" t="s">
        <v>204</v>
      </c>
    </row>
    <row r="34" spans="1:3">
      <c r="A34" s="1" t="s">
        <v>18</v>
      </c>
      <c r="B34" s="1" t="s">
        <v>23</v>
      </c>
      <c r="C34" s="103" t="s">
        <v>209</v>
      </c>
    </row>
    <row r="35" spans="1:3">
      <c r="A35" s="1" t="s">
        <v>26</v>
      </c>
      <c r="B35" s="1" t="s">
        <v>16</v>
      </c>
      <c r="C35" s="103" t="s">
        <v>212</v>
      </c>
    </row>
    <row r="36" spans="1:3">
      <c r="A36" s="1" t="s">
        <v>10</v>
      </c>
      <c r="B36" s="1" t="s">
        <v>23</v>
      </c>
      <c r="C36" s="105" t="s">
        <v>213</v>
      </c>
    </row>
    <row r="37" spans="1:3">
      <c r="A37" s="1" t="s">
        <v>20</v>
      </c>
      <c r="B37" s="1" t="s">
        <v>25</v>
      </c>
      <c r="C37" s="103" t="s">
        <v>204</v>
      </c>
    </row>
    <row r="38" spans="1:3">
      <c r="A38" s="1" t="s">
        <v>20</v>
      </c>
      <c r="B38" s="1" t="s">
        <v>11</v>
      </c>
      <c r="C38" s="103" t="s">
        <v>21</v>
      </c>
    </row>
    <row r="39" spans="1:3">
      <c r="A39" s="1" t="s">
        <v>18</v>
      </c>
      <c r="B39" s="1" t="s">
        <v>27</v>
      </c>
      <c r="C39" s="103" t="s">
        <v>21</v>
      </c>
    </row>
    <row r="40" spans="1:3">
      <c r="A40" s="1" t="s">
        <v>26</v>
      </c>
      <c r="B40" s="1" t="s">
        <v>11</v>
      </c>
      <c r="C40" s="103" t="s">
        <v>14</v>
      </c>
    </row>
    <row r="41" spans="1:3">
      <c r="A41" s="1" t="s">
        <v>20</v>
      </c>
      <c r="B41" s="1" t="s">
        <v>11</v>
      </c>
      <c r="C41" s="105" t="s">
        <v>41</v>
      </c>
    </row>
    <row r="42" spans="1:3">
      <c r="A42" s="1" t="s">
        <v>26</v>
      </c>
      <c r="B42" s="1" t="s">
        <v>25</v>
      </c>
      <c r="C42" s="103" t="s">
        <v>52</v>
      </c>
    </row>
    <row r="43" spans="1:3">
      <c r="A43" s="1" t="s">
        <v>18</v>
      </c>
      <c r="B43" s="1" t="s">
        <v>27</v>
      </c>
      <c r="C43" s="103" t="s">
        <v>204</v>
      </c>
    </row>
    <row r="44" spans="1:3">
      <c r="A44" s="1" t="s">
        <v>26</v>
      </c>
      <c r="B44" s="1" t="s">
        <v>11</v>
      </c>
      <c r="C44" s="103" t="s">
        <v>209</v>
      </c>
    </row>
    <row r="45" spans="1:3">
      <c r="A45" s="1" t="s">
        <v>18</v>
      </c>
      <c r="B45" s="1" t="s">
        <v>13</v>
      </c>
      <c r="C45" s="103" t="s">
        <v>21</v>
      </c>
    </row>
    <row r="46" spans="1:3">
      <c r="A46" s="1" t="s">
        <v>10</v>
      </c>
      <c r="B46" s="1" t="s">
        <v>16</v>
      </c>
      <c r="C46" s="103" t="s">
        <v>210</v>
      </c>
    </row>
    <row r="47" spans="1:3">
      <c r="A47" s="1" t="s">
        <v>26</v>
      </c>
      <c r="B47" s="1" t="s">
        <v>11</v>
      </c>
      <c r="C47" s="103" t="s">
        <v>212</v>
      </c>
    </row>
    <row r="48" spans="1:3">
      <c r="A48" s="1" t="s">
        <v>18</v>
      </c>
      <c r="B48" s="1" t="s">
        <v>16</v>
      </c>
      <c r="C48" s="103" t="s">
        <v>212</v>
      </c>
    </row>
    <row r="49" spans="1:3">
      <c r="A49" s="1" t="s">
        <v>26</v>
      </c>
      <c r="B49" s="1" t="s">
        <v>23</v>
      </c>
      <c r="C49" s="105" t="s">
        <v>41</v>
      </c>
    </row>
    <row r="50" spans="1:3">
      <c r="A50" s="1" t="s">
        <v>10</v>
      </c>
      <c r="B50" s="1" t="s">
        <v>11</v>
      </c>
      <c r="C50" s="103" t="s">
        <v>21</v>
      </c>
    </row>
    <row r="51" spans="1:3">
      <c r="A51" s="1" t="s">
        <v>15</v>
      </c>
      <c r="B51" s="1" t="s">
        <v>25</v>
      </c>
      <c r="C51" s="103" t="s">
        <v>212</v>
      </c>
    </row>
    <row r="52" spans="1:3">
      <c r="A52" s="1" t="s">
        <v>20</v>
      </c>
      <c r="B52" s="1" t="s">
        <v>23</v>
      </c>
      <c r="C52" s="103" t="s">
        <v>21</v>
      </c>
    </row>
    <row r="53" spans="1:3">
      <c r="A53" s="1" t="s">
        <v>15</v>
      </c>
      <c r="B53" s="1" t="s">
        <v>23</v>
      </c>
      <c r="C53" s="103" t="s">
        <v>209</v>
      </c>
    </row>
    <row r="54" spans="1:3">
      <c r="A54" s="1" t="s">
        <v>20</v>
      </c>
      <c r="B54" s="1" t="s">
        <v>11</v>
      </c>
      <c r="C54" s="105" t="s">
        <v>206</v>
      </c>
    </row>
    <row r="55" spans="1:3">
      <c r="A55" s="1" t="s">
        <v>20</v>
      </c>
      <c r="B55" s="1" t="s">
        <v>23</v>
      </c>
      <c r="C55" s="103" t="s">
        <v>14</v>
      </c>
    </row>
    <row r="56" spans="1:3">
      <c r="A56" s="1" t="s">
        <v>26</v>
      </c>
      <c r="B56" s="1" t="s">
        <v>11</v>
      </c>
      <c r="C56" s="103" t="s">
        <v>210</v>
      </c>
    </row>
    <row r="57" spans="1:3">
      <c r="A57" s="1" t="s">
        <v>18</v>
      </c>
      <c r="B57" s="1" t="s">
        <v>23</v>
      </c>
      <c r="C57" s="103" t="s">
        <v>204</v>
      </c>
    </row>
    <row r="58" spans="1:3">
      <c r="A58" s="1" t="s">
        <v>20</v>
      </c>
      <c r="B58" s="1" t="s">
        <v>16</v>
      </c>
      <c r="C58" s="103" t="s">
        <v>210</v>
      </c>
    </row>
    <row r="59" spans="1:3">
      <c r="A59" s="1" t="s">
        <v>15</v>
      </c>
      <c r="B59" s="1" t="s">
        <v>23</v>
      </c>
      <c r="C59" s="103" t="s">
        <v>52</v>
      </c>
    </row>
    <row r="60" spans="1:3">
      <c r="A60" s="1" t="s">
        <v>10</v>
      </c>
      <c r="B60" s="1" t="s">
        <v>25</v>
      </c>
      <c r="C60" s="103" t="s">
        <v>209</v>
      </c>
    </row>
    <row r="61" spans="1:3">
      <c r="A61" s="1" t="s">
        <v>18</v>
      </c>
      <c r="B61" s="1" t="s">
        <v>27</v>
      </c>
      <c r="C61" s="103" t="s">
        <v>209</v>
      </c>
    </row>
    <row r="62" spans="1:3">
      <c r="A62" s="1" t="s">
        <v>15</v>
      </c>
      <c r="B62" s="1" t="s">
        <v>27</v>
      </c>
      <c r="C62" s="103" t="s">
        <v>52</v>
      </c>
    </row>
    <row r="63" spans="1:3">
      <c r="A63" s="1" t="s">
        <v>26</v>
      </c>
      <c r="B63" s="1" t="s">
        <v>27</v>
      </c>
      <c r="C63" s="103" t="s">
        <v>52</v>
      </c>
    </row>
    <row r="64" spans="1:3">
      <c r="A64" s="1" t="s">
        <v>10</v>
      </c>
      <c r="B64" s="1" t="s">
        <v>11</v>
      </c>
      <c r="C64" s="103" t="s">
        <v>14</v>
      </c>
    </row>
    <row r="65" spans="1:3">
      <c r="A65" s="1" t="s">
        <v>18</v>
      </c>
      <c r="B65" s="1" t="s">
        <v>11</v>
      </c>
      <c r="C65" s="103" t="s">
        <v>209</v>
      </c>
    </row>
    <row r="66" spans="1:3">
      <c r="A66" s="1" t="s">
        <v>10</v>
      </c>
      <c r="B66" s="1" t="s">
        <v>11</v>
      </c>
      <c r="C66" s="103" t="s">
        <v>21</v>
      </c>
    </row>
    <row r="67" spans="1:3">
      <c r="A67" s="1" t="s">
        <v>18</v>
      </c>
      <c r="B67" s="1" t="s">
        <v>13</v>
      </c>
      <c r="C67" s="103" t="s">
        <v>211</v>
      </c>
    </row>
    <row r="68" spans="1:3">
      <c r="A68" s="1" t="s">
        <v>18</v>
      </c>
      <c r="B68" s="1" t="s">
        <v>23</v>
      </c>
      <c r="C68" s="105" t="s">
        <v>41</v>
      </c>
    </row>
    <row r="69" spans="1:3">
      <c r="A69" s="1" t="s">
        <v>20</v>
      </c>
      <c r="B69" s="1" t="s">
        <v>25</v>
      </c>
      <c r="C69" s="103" t="s">
        <v>100</v>
      </c>
    </row>
    <row r="70" spans="1:3">
      <c r="A70" s="1" t="s">
        <v>18</v>
      </c>
      <c r="B70" s="1" t="s">
        <v>16</v>
      </c>
      <c r="C70" s="105" t="s">
        <v>41</v>
      </c>
    </row>
    <row r="71" spans="1:3">
      <c r="A71" s="1" t="s">
        <v>20</v>
      </c>
      <c r="B71" s="1" t="s">
        <v>25</v>
      </c>
      <c r="C71" s="103" t="s">
        <v>209</v>
      </c>
    </row>
    <row r="72" spans="1:3">
      <c r="A72" s="1" t="s">
        <v>20</v>
      </c>
      <c r="B72" s="1" t="s">
        <v>27</v>
      </c>
      <c r="C72" s="103" t="s">
        <v>21</v>
      </c>
    </row>
    <row r="73" spans="1:3">
      <c r="A73" s="1" t="s">
        <v>20</v>
      </c>
      <c r="B73" s="1" t="s">
        <v>13</v>
      </c>
      <c r="C73" s="103" t="s">
        <v>212</v>
      </c>
    </row>
    <row r="74" spans="1:3">
      <c r="A74" s="1" t="s">
        <v>20</v>
      </c>
      <c r="B74" s="1" t="s">
        <v>23</v>
      </c>
      <c r="C74" s="105" t="s">
        <v>206</v>
      </c>
    </row>
    <row r="75" spans="1:3">
      <c r="A75" s="1" t="s">
        <v>10</v>
      </c>
      <c r="B75" s="1" t="s">
        <v>11</v>
      </c>
      <c r="C75" s="105" t="s">
        <v>41</v>
      </c>
    </row>
    <row r="76" spans="1:3">
      <c r="A76" s="1" t="s">
        <v>10</v>
      </c>
      <c r="B76" s="1" t="s">
        <v>27</v>
      </c>
      <c r="C76" s="103" t="s">
        <v>100</v>
      </c>
    </row>
    <row r="77" spans="1:3">
      <c r="A77" s="1" t="s">
        <v>26</v>
      </c>
      <c r="B77" s="1" t="s">
        <v>27</v>
      </c>
      <c r="C77" s="103" t="s">
        <v>100</v>
      </c>
    </row>
    <row r="78" spans="1:3">
      <c r="A78" s="1" t="s">
        <v>18</v>
      </c>
      <c r="B78" s="1" t="s">
        <v>11</v>
      </c>
      <c r="C78" s="103" t="s">
        <v>210</v>
      </c>
    </row>
    <row r="79" spans="1:3">
      <c r="A79" s="1" t="s">
        <v>10</v>
      </c>
      <c r="B79" s="1" t="s">
        <v>25</v>
      </c>
      <c r="C79" s="103" t="s">
        <v>100</v>
      </c>
    </row>
    <row r="80" spans="1:3">
      <c r="A80" s="1" t="s">
        <v>15</v>
      </c>
      <c r="B80" s="1" t="s">
        <v>13</v>
      </c>
      <c r="C80" s="103" t="s">
        <v>209</v>
      </c>
    </row>
    <row r="81" spans="1:3">
      <c r="A81" s="1" t="s">
        <v>26</v>
      </c>
      <c r="B81" s="1" t="s">
        <v>11</v>
      </c>
      <c r="C81" s="103" t="s">
        <v>100</v>
      </c>
    </row>
    <row r="82" spans="1:3">
      <c r="A82" s="1" t="s">
        <v>15</v>
      </c>
      <c r="B82" s="1" t="s">
        <v>11</v>
      </c>
      <c r="C82" s="103" t="s">
        <v>14</v>
      </c>
    </row>
    <row r="83" spans="1:3">
      <c r="A83" s="1" t="s">
        <v>10</v>
      </c>
      <c r="B83" s="1" t="s">
        <v>23</v>
      </c>
      <c r="C83" s="103" t="s">
        <v>204</v>
      </c>
    </row>
    <row r="84" spans="1:3">
      <c r="A84" s="1" t="s">
        <v>10</v>
      </c>
      <c r="B84" s="1" t="s">
        <v>11</v>
      </c>
      <c r="C84" s="103" t="s">
        <v>21</v>
      </c>
    </row>
    <row r="85" spans="1:3">
      <c r="A85" s="1" t="s">
        <v>26</v>
      </c>
      <c r="B85" s="1" t="s">
        <v>16</v>
      </c>
      <c r="C85" s="103" t="s">
        <v>52</v>
      </c>
    </row>
    <row r="86" spans="1:3">
      <c r="A86" s="1" t="s">
        <v>18</v>
      </c>
      <c r="B86" s="1" t="s">
        <v>16</v>
      </c>
      <c r="C86" s="105" t="s">
        <v>213</v>
      </c>
    </row>
    <row r="87" spans="1:3">
      <c r="A87" s="1" t="s">
        <v>26</v>
      </c>
      <c r="B87" s="1" t="s">
        <v>16</v>
      </c>
      <c r="C87" s="103" t="s">
        <v>204</v>
      </c>
    </row>
    <row r="88" spans="1:3">
      <c r="A88" s="1" t="s">
        <v>20</v>
      </c>
      <c r="B88" s="1" t="s">
        <v>16</v>
      </c>
      <c r="C88" s="105" t="s">
        <v>213</v>
      </c>
    </row>
    <row r="89" spans="1:3">
      <c r="A89" s="1" t="s">
        <v>20</v>
      </c>
      <c r="B89" s="1" t="s">
        <v>27</v>
      </c>
      <c r="C89" s="103" t="s">
        <v>211</v>
      </c>
    </row>
    <row r="90" spans="1:3">
      <c r="A90" s="1" t="s">
        <v>26</v>
      </c>
      <c r="B90" s="1" t="s">
        <v>25</v>
      </c>
      <c r="C90" s="103" t="s">
        <v>211</v>
      </c>
    </row>
    <row r="91" spans="1:3">
      <c r="A91" s="1" t="s">
        <v>10</v>
      </c>
      <c r="B91" s="1" t="s">
        <v>25</v>
      </c>
      <c r="C91" s="103" t="s">
        <v>52</v>
      </c>
    </row>
    <row r="92" spans="1:3">
      <c r="A92" s="1" t="s">
        <v>20</v>
      </c>
      <c r="B92" s="1" t="s">
        <v>25</v>
      </c>
      <c r="C92" s="103" t="s">
        <v>204</v>
      </c>
    </row>
    <row r="93" spans="1:3">
      <c r="A93" s="1" t="s">
        <v>10</v>
      </c>
      <c r="B93" s="1" t="s">
        <v>25</v>
      </c>
      <c r="C93" s="105" t="s">
        <v>41</v>
      </c>
    </row>
    <row r="94" spans="1:3">
      <c r="A94" s="1" t="s">
        <v>15</v>
      </c>
      <c r="B94" s="1" t="s">
        <v>13</v>
      </c>
      <c r="C94" s="103" t="s">
        <v>209</v>
      </c>
    </row>
    <row r="95" spans="1:3">
      <c r="A95" s="1" t="s">
        <v>26</v>
      </c>
      <c r="B95" s="1" t="s">
        <v>13</v>
      </c>
      <c r="C95" s="103" t="s">
        <v>14</v>
      </c>
    </row>
    <row r="96" spans="1:3">
      <c r="A96" s="1" t="s">
        <v>20</v>
      </c>
      <c r="B96" s="1" t="s">
        <v>27</v>
      </c>
      <c r="C96" s="103" t="s">
        <v>52</v>
      </c>
    </row>
    <row r="97" spans="1:3">
      <c r="A97" s="1" t="s">
        <v>10</v>
      </c>
      <c r="B97" s="1" t="s">
        <v>13</v>
      </c>
      <c r="C97" s="103" t="s">
        <v>21</v>
      </c>
    </row>
    <row r="98" spans="1:3">
      <c r="A98" s="1" t="s">
        <v>20</v>
      </c>
      <c r="B98" s="1" t="s">
        <v>27</v>
      </c>
      <c r="C98" s="105" t="s">
        <v>206</v>
      </c>
    </row>
    <row r="99" spans="1:3">
      <c r="A99" s="1" t="s">
        <v>20</v>
      </c>
      <c r="B99" s="1" t="s">
        <v>13</v>
      </c>
      <c r="C99" s="105" t="s">
        <v>213</v>
      </c>
    </row>
    <row r="100" spans="1:3">
      <c r="A100" s="1" t="s">
        <v>18</v>
      </c>
      <c r="B100" s="1" t="s">
        <v>16</v>
      </c>
      <c r="C100" s="105" t="s">
        <v>41</v>
      </c>
    </row>
    <row r="101" spans="1:3">
      <c r="A101" s="1" t="s">
        <v>10</v>
      </c>
      <c r="B101" s="1" t="s">
        <v>13</v>
      </c>
      <c r="C101" s="103" t="s">
        <v>209</v>
      </c>
    </row>
    <row r="102" spans="1:3">
      <c r="A102" s="1" t="s">
        <v>20</v>
      </c>
      <c r="B102" s="1" t="s">
        <v>11</v>
      </c>
      <c r="C102" s="105" t="s">
        <v>206</v>
      </c>
    </row>
    <row r="103" spans="1:3">
      <c r="A103" s="1" t="s">
        <v>20</v>
      </c>
      <c r="B103" s="1" t="s">
        <v>25</v>
      </c>
      <c r="C103" s="103" t="s">
        <v>204</v>
      </c>
    </row>
    <row r="104" spans="1:3">
      <c r="A104" s="1" t="s">
        <v>18</v>
      </c>
      <c r="B104" s="1" t="s">
        <v>23</v>
      </c>
      <c r="C104" s="103" t="s">
        <v>100</v>
      </c>
    </row>
    <row r="105" spans="1:3">
      <c r="A105" s="1" t="s">
        <v>20</v>
      </c>
      <c r="B105" s="1" t="s">
        <v>11</v>
      </c>
      <c r="C105" s="105" t="s">
        <v>213</v>
      </c>
    </row>
    <row r="106" spans="1:3">
      <c r="A106" s="1" t="s">
        <v>18</v>
      </c>
      <c r="B106" s="1" t="s">
        <v>13</v>
      </c>
      <c r="C106" s="103" t="s">
        <v>212</v>
      </c>
    </row>
    <row r="107" spans="1:3">
      <c r="A107" s="1" t="s">
        <v>26</v>
      </c>
      <c r="B107" s="1" t="s">
        <v>25</v>
      </c>
      <c r="C107" s="103" t="s">
        <v>100</v>
      </c>
    </row>
    <row r="108" spans="1:3">
      <c r="A108" s="1" t="s">
        <v>15</v>
      </c>
      <c r="B108" s="1" t="s">
        <v>11</v>
      </c>
      <c r="C108" s="103" t="s">
        <v>14</v>
      </c>
    </row>
    <row r="109" spans="1:3">
      <c r="A109" s="1" t="s">
        <v>15</v>
      </c>
      <c r="B109" s="1" t="s">
        <v>13</v>
      </c>
      <c r="C109" s="105" t="s">
        <v>213</v>
      </c>
    </row>
    <row r="110" spans="1:3">
      <c r="A110" s="1" t="s">
        <v>26</v>
      </c>
      <c r="B110" s="1" t="s">
        <v>16</v>
      </c>
      <c r="C110" s="103" t="s">
        <v>14</v>
      </c>
    </row>
    <row r="111" spans="1:3">
      <c r="A111" s="1" t="s">
        <v>26</v>
      </c>
      <c r="B111" s="1" t="s">
        <v>25</v>
      </c>
      <c r="C111" s="103" t="s">
        <v>204</v>
      </c>
    </row>
    <row r="112" spans="1:3">
      <c r="A112" s="1" t="s">
        <v>15</v>
      </c>
      <c r="B112" s="1" t="s">
        <v>16</v>
      </c>
      <c r="C112" s="105" t="s">
        <v>213</v>
      </c>
    </row>
    <row r="113" spans="1:3">
      <c r="A113" s="1" t="s">
        <v>10</v>
      </c>
      <c r="B113" s="1" t="s">
        <v>25</v>
      </c>
      <c r="C113" s="103" t="s">
        <v>100</v>
      </c>
    </row>
    <row r="114" spans="1:3">
      <c r="A114" s="1" t="s">
        <v>10</v>
      </c>
      <c r="B114" s="1" t="s">
        <v>27</v>
      </c>
      <c r="C114" s="105" t="s">
        <v>213</v>
      </c>
    </row>
    <row r="115" spans="1:3">
      <c r="A115" s="1" t="s">
        <v>20</v>
      </c>
      <c r="B115" s="1" t="s">
        <v>25</v>
      </c>
      <c r="C115" s="103" t="s">
        <v>212</v>
      </c>
    </row>
    <row r="116" spans="1:3">
      <c r="A116" s="1" t="s">
        <v>26</v>
      </c>
      <c r="B116" s="1" t="s">
        <v>27</v>
      </c>
      <c r="C116" s="105" t="s">
        <v>213</v>
      </c>
    </row>
    <row r="117" spans="1:3">
      <c r="A117" s="1" t="s">
        <v>10</v>
      </c>
      <c r="B117" s="1" t="s">
        <v>25</v>
      </c>
      <c r="C117" s="103" t="s">
        <v>204</v>
      </c>
    </row>
    <row r="118" spans="1:3">
      <c r="A118" s="1" t="s">
        <v>20</v>
      </c>
      <c r="B118" s="1" t="s">
        <v>25</v>
      </c>
      <c r="C118" s="103" t="s">
        <v>204</v>
      </c>
    </row>
    <row r="119" spans="1:3">
      <c r="A119" s="1" t="s">
        <v>20</v>
      </c>
      <c r="B119" s="1" t="s">
        <v>27</v>
      </c>
      <c r="C119" s="105" t="s">
        <v>213</v>
      </c>
    </row>
    <row r="120" spans="1:3">
      <c r="A120" s="1" t="s">
        <v>18</v>
      </c>
      <c r="B120" s="1" t="s">
        <v>16</v>
      </c>
      <c r="C120" s="105" t="s">
        <v>41</v>
      </c>
    </row>
    <row r="121" spans="1:3">
      <c r="A121" s="1" t="s">
        <v>26</v>
      </c>
      <c r="B121" s="1" t="s">
        <v>13</v>
      </c>
      <c r="C121" s="103" t="s">
        <v>204</v>
      </c>
    </row>
    <row r="122" spans="1:3">
      <c r="A122" s="1" t="s">
        <v>15</v>
      </c>
      <c r="B122" s="1" t="s">
        <v>23</v>
      </c>
      <c r="C122" s="103" t="s">
        <v>209</v>
      </c>
    </row>
    <row r="123" spans="1:3">
      <c r="A123" s="1" t="s">
        <v>26</v>
      </c>
      <c r="B123" s="1" t="s">
        <v>16</v>
      </c>
      <c r="C123" s="103" t="s">
        <v>211</v>
      </c>
    </row>
    <row r="124" spans="1:3">
      <c r="A124" s="1" t="s">
        <v>15</v>
      </c>
      <c r="B124" s="1" t="s">
        <v>27</v>
      </c>
      <c r="C124" s="103" t="s">
        <v>209</v>
      </c>
    </row>
    <row r="125" spans="1:3">
      <c r="A125" s="1" t="s">
        <v>18</v>
      </c>
      <c r="B125" s="1" t="s">
        <v>11</v>
      </c>
      <c r="C125" s="103" t="s">
        <v>52</v>
      </c>
    </row>
    <row r="126" spans="1:3">
      <c r="A126" s="1" t="s">
        <v>15</v>
      </c>
      <c r="B126" s="1" t="s">
        <v>25</v>
      </c>
      <c r="C126" s="105" t="s">
        <v>213</v>
      </c>
    </row>
    <row r="127" spans="1:3">
      <c r="A127" s="1" t="s">
        <v>18</v>
      </c>
      <c r="B127" s="1" t="s">
        <v>23</v>
      </c>
      <c r="C127" s="103" t="s">
        <v>212</v>
      </c>
    </row>
    <row r="128" spans="1:3">
      <c r="A128" s="1" t="s">
        <v>15</v>
      </c>
      <c r="B128" s="1" t="s">
        <v>23</v>
      </c>
      <c r="C128" s="103" t="s">
        <v>21</v>
      </c>
    </row>
    <row r="129" spans="1:3">
      <c r="A129" s="1" t="s">
        <v>10</v>
      </c>
      <c r="B129" s="1" t="s">
        <v>27</v>
      </c>
      <c r="C129" s="103" t="s">
        <v>209</v>
      </c>
    </row>
    <row r="130" spans="1:3">
      <c r="A130" s="1" t="s">
        <v>26</v>
      </c>
      <c r="B130" s="1" t="s">
        <v>27</v>
      </c>
      <c r="C130" s="103" t="s">
        <v>100</v>
      </c>
    </row>
    <row r="131" spans="1:3">
      <c r="A131" s="1" t="s">
        <v>20</v>
      </c>
      <c r="B131" s="1" t="s">
        <v>23</v>
      </c>
      <c r="C131" s="103" t="s">
        <v>100</v>
      </c>
    </row>
    <row r="132" spans="1:3">
      <c r="A132" s="1" t="s">
        <v>20</v>
      </c>
      <c r="B132" s="1" t="s">
        <v>11</v>
      </c>
      <c r="C132" s="103" t="s">
        <v>211</v>
      </c>
    </row>
    <row r="133" spans="1:3">
      <c r="A133" s="1" t="s">
        <v>15</v>
      </c>
      <c r="B133" s="1" t="s">
        <v>27</v>
      </c>
      <c r="C133" s="105" t="s">
        <v>206</v>
      </c>
    </row>
    <row r="134" spans="1:3">
      <c r="A134" s="1" t="s">
        <v>20</v>
      </c>
      <c r="B134" s="1" t="s">
        <v>16</v>
      </c>
      <c r="C134" s="103" t="s">
        <v>210</v>
      </c>
    </row>
    <row r="135" spans="1:3">
      <c r="A135" s="1" t="s">
        <v>15</v>
      </c>
      <c r="B135" s="1" t="s">
        <v>25</v>
      </c>
      <c r="C135" s="103" t="s">
        <v>204</v>
      </c>
    </row>
    <row r="136" spans="1:3">
      <c r="A136" s="1" t="s">
        <v>18</v>
      </c>
      <c r="B136" s="1" t="s">
        <v>16</v>
      </c>
      <c r="C136" s="103" t="s">
        <v>209</v>
      </c>
    </row>
    <row r="137" spans="1:3">
      <c r="A137" s="1" t="s">
        <v>26</v>
      </c>
      <c r="B137" s="1" t="s">
        <v>16</v>
      </c>
      <c r="C137" s="103" t="s">
        <v>21</v>
      </c>
    </row>
    <row r="138" spans="1:3">
      <c r="A138" s="1" t="s">
        <v>20</v>
      </c>
      <c r="B138" s="1" t="s">
        <v>16</v>
      </c>
      <c r="C138" s="103" t="s">
        <v>14</v>
      </c>
    </row>
    <row r="139" spans="1:3">
      <c r="A139" s="1" t="s">
        <v>20</v>
      </c>
      <c r="B139" s="1" t="s">
        <v>11</v>
      </c>
      <c r="C139" s="105" t="s">
        <v>213</v>
      </c>
    </row>
    <row r="140" spans="1:3">
      <c r="A140" s="1" t="s">
        <v>18</v>
      </c>
      <c r="B140" s="1" t="s">
        <v>25</v>
      </c>
      <c r="C140" s="105" t="s">
        <v>41</v>
      </c>
    </row>
    <row r="141" spans="1:3">
      <c r="A141" s="1" t="s">
        <v>20</v>
      </c>
      <c r="B141" s="1" t="s">
        <v>13</v>
      </c>
      <c r="C141" s="103" t="s">
        <v>212</v>
      </c>
    </row>
    <row r="142" spans="1:3">
      <c r="A142" s="1" t="s">
        <v>10</v>
      </c>
      <c r="B142" s="1" t="s">
        <v>16</v>
      </c>
      <c r="C142" s="103" t="s">
        <v>52</v>
      </c>
    </row>
    <row r="143" spans="1:3">
      <c r="A143" s="1" t="s">
        <v>20</v>
      </c>
      <c r="B143" s="1" t="s">
        <v>16</v>
      </c>
      <c r="C143" s="103" t="s">
        <v>14</v>
      </c>
    </row>
    <row r="144" spans="1:3">
      <c r="A144" s="1" t="s">
        <v>15</v>
      </c>
      <c r="B144" s="1" t="s">
        <v>27</v>
      </c>
      <c r="C144" s="103" t="s">
        <v>204</v>
      </c>
    </row>
    <row r="145" spans="1:3">
      <c r="A145" s="1" t="s">
        <v>20</v>
      </c>
      <c r="B145" s="1" t="s">
        <v>23</v>
      </c>
      <c r="C145" s="103" t="s">
        <v>212</v>
      </c>
    </row>
    <row r="146" spans="1:3">
      <c r="A146" s="1" t="s">
        <v>18</v>
      </c>
      <c r="B146" s="1" t="s">
        <v>27</v>
      </c>
      <c r="C146" s="103" t="s">
        <v>212</v>
      </c>
    </row>
    <row r="147" spans="1:3">
      <c r="A147" s="1" t="s">
        <v>10</v>
      </c>
      <c r="B147" s="1" t="s">
        <v>13</v>
      </c>
      <c r="C147" s="103" t="s">
        <v>14</v>
      </c>
    </row>
    <row r="148" spans="1:3">
      <c r="A148" s="1" t="s">
        <v>26</v>
      </c>
      <c r="B148" s="1" t="s">
        <v>16</v>
      </c>
      <c r="C148" s="103" t="s">
        <v>52</v>
      </c>
    </row>
    <row r="149" spans="1:3">
      <c r="A149" s="1" t="s">
        <v>15</v>
      </c>
      <c r="B149" s="1" t="s">
        <v>16</v>
      </c>
      <c r="C149" s="103" t="s">
        <v>212</v>
      </c>
    </row>
    <row r="150" spans="1:3">
      <c r="A150" s="1" t="s">
        <v>26</v>
      </c>
      <c r="B150" s="1" t="s">
        <v>27</v>
      </c>
      <c r="C150" s="105" t="s">
        <v>206</v>
      </c>
    </row>
    <row r="151" spans="1:3">
      <c r="A151" s="1" t="s">
        <v>18</v>
      </c>
      <c r="B151" s="1" t="s">
        <v>25</v>
      </c>
      <c r="C151" s="103" t="s">
        <v>209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BaseDeDatos</vt:lpstr>
      <vt:lpstr>Continuas</vt:lpstr>
      <vt:lpstr>Discretas</vt:lpstr>
      <vt:lpstr>Cualitativas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 </dc:creator>
  <cp:keywords/>
  <dc:description/>
  <cp:lastModifiedBy>Uriel M</cp:lastModifiedBy>
  <cp:revision/>
  <dcterms:created xsi:type="dcterms:W3CDTF">2023-08-31T23:21:10Z</dcterms:created>
  <dcterms:modified xsi:type="dcterms:W3CDTF">2023-09-02T06:33:49Z</dcterms:modified>
  <cp:category/>
  <cp:contentStatus/>
</cp:coreProperties>
</file>